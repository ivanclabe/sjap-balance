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https://d.docs.live.net/0239cc9973191649/EMPRESA/EDSJAP/LA FLORIDA/2026/CIERRE/BALANCE/"/>
    </mc:Choice>
  </mc:AlternateContent>
  <xr:revisionPtr revIDLastSave="2319" documentId="8_{E7097E04-FFE9-F14F-AA2E-A307716A7BFB}" xr6:coauthVersionLast="47" xr6:coauthVersionMax="47" xr10:uidLastSave="{E5ECEDC8-591A-3041-982C-C0AD2194A02A}"/>
  <bookViews>
    <workbookView xWindow="0" yWindow="780" windowWidth="36000" windowHeight="22600" tabRatio="597" activeTab="2" xr2:uid="{00000000-000D-0000-FFFF-FFFF00000000}"/>
  </bookViews>
  <sheets>
    <sheet name="G. Corriente" sheetId="9" r:id="rId1"/>
    <sheet name="Bioacem" sheetId="13" r:id="rId2"/>
    <sheet name="G. Extra" sheetId="14" r:id="rId3"/>
    <sheet name="Cierre" sheetId="10" r:id="rId4"/>
    <sheet name="Vtas efectivo" sheetId="24" r:id="rId5"/>
    <sheet name="Urea" sheetId="23" r:id="rId6"/>
    <sheet name="Facturas" sheetId="22" r:id="rId7"/>
    <sheet name="Fluctuaciones" sheetId="12" r:id="rId8"/>
    <sheet name="Promotor" sheetId="15" r:id="rId9"/>
    <sheet name="Presupuesto" sheetId="16" r:id="rId10"/>
    <sheet name="Sicom" sheetId="6" r:id="rId11"/>
  </sheets>
  <externalReferences>
    <externalReference r:id="rId12"/>
    <externalReference r:id="rId13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5" i="10" l="1"/>
  <c r="P58" i="15"/>
  <c r="O50" i="15" l="1"/>
  <c r="P46" i="15"/>
  <c r="P47" i="15"/>
  <c r="P49" i="15"/>
  <c r="P50" i="15"/>
  <c r="P51" i="15"/>
  <c r="P52" i="15"/>
  <c r="P53" i="15"/>
  <c r="P54" i="15"/>
  <c r="P55" i="15"/>
  <c r="P56" i="15"/>
  <c r="P57" i="15"/>
  <c r="N45" i="15"/>
  <c r="N47" i="15"/>
  <c r="N48" i="15"/>
  <c r="N49" i="15"/>
  <c r="N50" i="15"/>
  <c r="N51" i="15"/>
  <c r="N52" i="15"/>
  <c r="N53" i="15"/>
  <c r="N54" i="15"/>
  <c r="N55" i="15"/>
  <c r="N56" i="15"/>
  <c r="O56" i="15" s="1"/>
  <c r="N57" i="15"/>
  <c r="N46" i="15"/>
  <c r="O47" i="15"/>
  <c r="P31" i="23"/>
  <c r="G10" i="6"/>
  <c r="AL35" i="15"/>
  <c r="CB35" i="15"/>
  <c r="BJ35" i="15"/>
  <c r="AX35" i="15"/>
  <c r="BV35" i="15"/>
  <c r="N35" i="15"/>
  <c r="AF35" i="15"/>
  <c r="T35" i="15"/>
  <c r="BP35" i="15"/>
  <c r="BD35" i="15"/>
  <c r="Z30" i="24"/>
  <c r="AZ30" i="24"/>
  <c r="Z30" i="10"/>
  <c r="L30" i="10"/>
  <c r="I30" i="10"/>
  <c r="H34" i="13"/>
  <c r="I11" i="6"/>
  <c r="I10" i="6"/>
  <c r="I9" i="6"/>
  <c r="BJ34" i="15"/>
  <c r="BV34" i="15"/>
  <c r="AL34" i="15"/>
  <c r="T34" i="15"/>
  <c r="AF34" i="15"/>
  <c r="CB34" i="15"/>
  <c r="N34" i="15"/>
  <c r="AR34" i="15"/>
  <c r="BD34" i="15"/>
  <c r="AX34" i="15"/>
  <c r="R29" i="10"/>
  <c r="Z29" i="24"/>
  <c r="AZ29" i="24"/>
  <c r="Z29" i="10"/>
  <c r="L29" i="10"/>
  <c r="I29" i="10"/>
  <c r="H33" i="13"/>
  <c r="N33" i="15" l="1"/>
  <c r="BI33" i="15"/>
  <c r="BJ33" i="15"/>
  <c r="BD33" i="15"/>
  <c r="AL33" i="15"/>
  <c r="T33" i="15"/>
  <c r="AR33" i="15"/>
  <c r="CB33" i="15"/>
  <c r="BV33" i="15"/>
  <c r="AX33" i="15"/>
  <c r="BP33" i="15"/>
  <c r="T28" i="10"/>
  <c r="Z28" i="24"/>
  <c r="AZ28" i="24"/>
  <c r="Z28" i="10"/>
  <c r="L28" i="10"/>
  <c r="I28" i="10"/>
  <c r="AL32" i="15"/>
  <c r="AX32" i="15"/>
  <c r="AR32" i="15"/>
  <c r="BD32" i="15"/>
  <c r="BV32" i="15"/>
  <c r="BJ32" i="15"/>
  <c r="T32" i="15"/>
  <c r="N32" i="15"/>
  <c r="BP32" i="15"/>
  <c r="AF32" i="15"/>
  <c r="T27" i="10"/>
  <c r="AZ27" i="24"/>
  <c r="BA27" i="24"/>
  <c r="Z27" i="10"/>
  <c r="L27" i="10"/>
  <c r="Z27" i="24"/>
  <c r="I27" i="10"/>
  <c r="H32" i="13"/>
  <c r="H31" i="13"/>
  <c r="BJ31" i="15"/>
  <c r="Z31" i="15"/>
  <c r="AR31" i="15"/>
  <c r="CB31" i="15"/>
  <c r="AX31" i="15"/>
  <c r="AF31" i="15"/>
  <c r="BP31" i="15"/>
  <c r="BD31" i="15"/>
  <c r="BV31" i="15"/>
  <c r="T31" i="15"/>
  <c r="AL31" i="15"/>
  <c r="Z26" i="24"/>
  <c r="AZ26" i="24"/>
  <c r="Z26" i="10"/>
  <c r="L26" i="10"/>
  <c r="I26" i="10"/>
  <c r="H30" i="13"/>
  <c r="BJ30" i="15"/>
  <c r="BP30" i="15"/>
  <c r="AR30" i="15"/>
  <c r="CB30" i="15"/>
  <c r="AF30" i="15"/>
  <c r="BV30" i="15"/>
  <c r="N30" i="15"/>
  <c r="Z30" i="15"/>
  <c r="AL30" i="15"/>
  <c r="AX30" i="15"/>
  <c r="R25" i="10"/>
  <c r="L25" i="10"/>
  <c r="Z25" i="24"/>
  <c r="Z25" i="10"/>
  <c r="I25" i="10"/>
  <c r="H29" i="13"/>
  <c r="Z29" i="15"/>
  <c r="BD29" i="15"/>
  <c r="CB29" i="15"/>
  <c r="T29" i="15"/>
  <c r="AL29" i="15"/>
  <c r="AX29" i="15"/>
  <c r="AR29" i="15"/>
  <c r="BP29" i="15"/>
  <c r="BV29" i="15"/>
  <c r="Z24" i="24"/>
  <c r="Z24" i="10"/>
  <c r="L24" i="10"/>
  <c r="I24" i="10"/>
  <c r="H28" i="13"/>
  <c r="AX28" i="15"/>
  <c r="BJ28" i="15"/>
  <c r="BD28" i="15"/>
  <c r="BP28" i="15"/>
  <c r="AL28" i="15"/>
  <c r="BV28" i="15"/>
  <c r="CB28" i="15"/>
  <c r="T28" i="15"/>
  <c r="AF28" i="15"/>
  <c r="AR28" i="15"/>
  <c r="Z23" i="24"/>
  <c r="AZ23" i="24"/>
  <c r="Z23" i="10"/>
  <c r="L23" i="10"/>
  <c r="I23" i="10"/>
  <c r="H27" i="13"/>
  <c r="BV27" i="15"/>
  <c r="T27" i="15"/>
  <c r="AX27" i="15"/>
  <c r="BD27" i="15"/>
  <c r="Z27" i="15"/>
  <c r="BP27" i="15"/>
  <c r="BJ27" i="15"/>
  <c r="AL27" i="15"/>
  <c r="AR27" i="15"/>
  <c r="CB27" i="15"/>
  <c r="Z22" i="24"/>
  <c r="AZ22" i="24"/>
  <c r="Z22" i="10"/>
  <c r="L22" i="10"/>
  <c r="I22" i="10"/>
  <c r="H26" i="13"/>
  <c r="P21" i="23"/>
  <c r="Z21" i="24"/>
  <c r="AR26" i="15"/>
  <c r="AF26" i="15"/>
  <c r="T26" i="15"/>
  <c r="Z26" i="15"/>
  <c r="H26" i="15"/>
  <c r="BJ26" i="15"/>
  <c r="AX26" i="15"/>
  <c r="BV26" i="15"/>
  <c r="BP26" i="15"/>
  <c r="CB26" i="15"/>
  <c r="AL26" i="15"/>
  <c r="AZ21" i="24"/>
  <c r="Z21" i="10"/>
  <c r="L21" i="10"/>
  <c r="I21" i="10"/>
  <c r="H25" i="13"/>
  <c r="H25" i="15"/>
  <c r="BP25" i="15"/>
  <c r="AF25" i="15"/>
  <c r="BV25" i="15"/>
  <c r="CB25" i="15"/>
  <c r="N25" i="15"/>
  <c r="T25" i="15"/>
  <c r="Z25" i="15"/>
  <c r="AR25" i="15"/>
  <c r="AL25" i="15"/>
  <c r="BD25" i="15"/>
  <c r="Z20" i="24"/>
  <c r="AZ20" i="24"/>
  <c r="Z20" i="10"/>
  <c r="L20" i="10"/>
  <c r="I20" i="10"/>
  <c r="H24" i="13"/>
  <c r="AL24" i="15"/>
  <c r="AR24" i="15"/>
  <c r="BV24" i="15"/>
  <c r="BD24" i="15"/>
  <c r="Z24" i="15"/>
  <c r="BP24" i="15"/>
  <c r="AF24" i="15"/>
  <c r="N24" i="15"/>
  <c r="CB24" i="15"/>
  <c r="H24" i="15"/>
  <c r="Z19" i="24"/>
  <c r="AZ19" i="24"/>
  <c r="Z19" i="10"/>
  <c r="L19" i="10"/>
  <c r="I19" i="10"/>
  <c r="Z23" i="15"/>
  <c r="AX23" i="15"/>
  <c r="CB23" i="15"/>
  <c r="BD23" i="15"/>
  <c r="H23" i="15"/>
  <c r="BP23" i="15"/>
  <c r="N23" i="15"/>
  <c r="AL23" i="15"/>
  <c r="BV23" i="15"/>
  <c r="AF23" i="15"/>
  <c r="L18" i="10"/>
  <c r="Z18" i="24"/>
  <c r="AZ18" i="24"/>
  <c r="Z18" i="10"/>
  <c r="I18" i="10"/>
  <c r="H23" i="13"/>
  <c r="H22" i="13"/>
  <c r="CB22" i="15"/>
  <c r="BD22" i="15"/>
  <c r="AX22" i="15"/>
  <c r="AF22" i="15"/>
  <c r="BP22" i="15"/>
  <c r="AL22" i="15"/>
  <c r="BV22" i="15"/>
  <c r="N22" i="15"/>
  <c r="H22" i="15"/>
  <c r="Z22" i="15"/>
  <c r="Z17" i="24"/>
  <c r="Z17" i="10"/>
  <c r="I17" i="10"/>
  <c r="H21" i="13"/>
  <c r="H21" i="15"/>
  <c r="CB21" i="15"/>
  <c r="AX21" i="15"/>
  <c r="BP21" i="15"/>
  <c r="T21" i="15"/>
  <c r="Z21" i="15"/>
  <c r="N21" i="15"/>
  <c r="BV21" i="15"/>
  <c r="AL21" i="15"/>
  <c r="AR21" i="15"/>
  <c r="AF21" i="15"/>
  <c r="H20" i="13"/>
  <c r="L16" i="10"/>
  <c r="Z16" i="24"/>
  <c r="AZ16" i="24"/>
  <c r="Z16" i="10"/>
  <c r="I16" i="10"/>
  <c r="Z20" i="15"/>
  <c r="AR20" i="15"/>
  <c r="BV20" i="15"/>
  <c r="CB20" i="15"/>
  <c r="H20" i="15"/>
  <c r="BJ20" i="15"/>
  <c r="N20" i="15"/>
  <c r="AX20" i="15"/>
  <c r="T20" i="15"/>
  <c r="AF20" i="15"/>
  <c r="AL20" i="15"/>
  <c r="H19" i="15"/>
  <c r="CB19" i="15"/>
  <c r="Z19" i="15"/>
  <c r="BP19" i="15"/>
  <c r="AF19" i="15"/>
  <c r="AR19" i="15"/>
  <c r="AX19" i="15"/>
  <c r="T19" i="15"/>
  <c r="N19" i="15"/>
  <c r="BV19" i="15"/>
  <c r="AL19" i="15"/>
  <c r="AZ15" i="24"/>
  <c r="Z15" i="24"/>
  <c r="Z15" i="10"/>
  <c r="L15" i="10"/>
  <c r="I15" i="10"/>
  <c r="H19" i="13"/>
  <c r="Q14" i="24"/>
  <c r="Z14" i="10"/>
  <c r="L14" i="10"/>
  <c r="Z14" i="24"/>
  <c r="I14" i="10"/>
  <c r="H17" i="13"/>
  <c r="H18" i="13"/>
  <c r="D41" i="15"/>
  <c r="J41" i="15"/>
  <c r="P41" i="15"/>
  <c r="V41" i="15"/>
  <c r="AB41" i="15"/>
  <c r="AH41" i="15"/>
  <c r="AN41" i="15"/>
  <c r="AT41" i="15"/>
  <c r="BX41" i="15"/>
  <c r="BR41" i="15"/>
  <c r="BL41" i="15"/>
  <c r="AZ41" i="15"/>
  <c r="BF41" i="15"/>
  <c r="CB40" i="15"/>
  <c r="CA40" i="15"/>
  <c r="M57" i="15"/>
  <c r="BZ40" i="15"/>
  <c r="BY40" i="15"/>
  <c r="BX40" i="15"/>
  <c r="K57" i="15" s="1"/>
  <c r="BV40" i="15"/>
  <c r="BU40" i="15"/>
  <c r="M56" i="15" s="1"/>
  <c r="BT40" i="15"/>
  <c r="BS40" i="15"/>
  <c r="BR40" i="15"/>
  <c r="BP40" i="15"/>
  <c r="BO40" i="15"/>
  <c r="M55" i="15"/>
  <c r="BN40" i="15"/>
  <c r="BM40" i="15"/>
  <c r="BL40" i="15"/>
  <c r="BJ40" i="15"/>
  <c r="BI40" i="15"/>
  <c r="M54" i="15" s="1"/>
  <c r="BH40" i="15"/>
  <c r="BG40" i="15"/>
  <c r="BF40" i="15"/>
  <c r="K54" i="15"/>
  <c r="BD40" i="15"/>
  <c r="BC40" i="15"/>
  <c r="BB40" i="15"/>
  <c r="L53" i="15" s="1"/>
  <c r="BA40" i="15"/>
  <c r="K53" i="15" s="1"/>
  <c r="AZ40" i="15"/>
  <c r="AX40" i="15"/>
  <c r="AW40" i="15"/>
  <c r="M52" i="15"/>
  <c r="AV40" i="15"/>
  <c r="L52" i="15" s="1"/>
  <c r="AU40" i="15"/>
  <c r="AT40" i="15"/>
  <c r="AR40" i="15"/>
  <c r="M51" i="15" s="1"/>
  <c r="AQ40" i="15"/>
  <c r="AP40" i="15"/>
  <c r="AO40" i="15"/>
  <c r="AN40" i="15"/>
  <c r="K51" i="15" s="1"/>
  <c r="AL40" i="15"/>
  <c r="AK40" i="15"/>
  <c r="M50" i="15"/>
  <c r="AJ40" i="15"/>
  <c r="AI40" i="15"/>
  <c r="AH40" i="15"/>
  <c r="AF40" i="15"/>
  <c r="AE40" i="15"/>
  <c r="AD40" i="15"/>
  <c r="AC40" i="15"/>
  <c r="K49" i="15" s="1"/>
  <c r="AB40" i="15"/>
  <c r="Y40" i="15"/>
  <c r="M48" i="15"/>
  <c r="X40" i="15"/>
  <c r="W40" i="15"/>
  <c r="V40" i="15"/>
  <c r="S40" i="15"/>
  <c r="M47" i="15"/>
  <c r="R40" i="15"/>
  <c r="L47" i="15" s="1"/>
  <c r="Q40" i="15"/>
  <c r="P40" i="15"/>
  <c r="M40" i="15"/>
  <c r="M46" i="15"/>
  <c r="L40" i="15"/>
  <c r="L46" i="15" s="1"/>
  <c r="K40" i="15"/>
  <c r="J40" i="15"/>
  <c r="D40" i="15"/>
  <c r="E40" i="15"/>
  <c r="F40" i="15"/>
  <c r="G40" i="15"/>
  <c r="M45" i="15"/>
  <c r="M53" i="15"/>
  <c r="M49" i="15"/>
  <c r="CA39" i="15"/>
  <c r="BU39" i="15"/>
  <c r="BO39" i="15"/>
  <c r="BI39" i="15"/>
  <c r="BC39" i="15"/>
  <c r="AW39" i="15"/>
  <c r="AQ39" i="15"/>
  <c r="AK39" i="15"/>
  <c r="AE39" i="15"/>
  <c r="Y39" i="15"/>
  <c r="S39" i="15"/>
  <c r="M39" i="15"/>
  <c r="G39" i="15"/>
  <c r="BD18" i="15"/>
  <c r="AF18" i="15"/>
  <c r="AR18" i="15"/>
  <c r="T18" i="15"/>
  <c r="BP18" i="15"/>
  <c r="CB18" i="15"/>
  <c r="Z18" i="15"/>
  <c r="BV18" i="15"/>
  <c r="N18" i="15"/>
  <c r="H18" i="15"/>
  <c r="AL18" i="15"/>
  <c r="AX18" i="15"/>
  <c r="Z13" i="24"/>
  <c r="AZ13" i="24"/>
  <c r="Z13" i="10"/>
  <c r="L13" i="10"/>
  <c r="I13" i="10"/>
  <c r="P13" i="23"/>
  <c r="N12" i="10"/>
  <c r="AF17" i="15"/>
  <c r="T17" i="15"/>
  <c r="H17" i="15"/>
  <c r="AL17" i="15"/>
  <c r="AX17" i="15"/>
  <c r="BP17" i="15"/>
  <c r="CB17" i="15"/>
  <c r="BD17" i="15"/>
  <c r="Z17" i="15"/>
  <c r="BV17" i="15"/>
  <c r="AZ12" i="24"/>
  <c r="Z12" i="24"/>
  <c r="Z12" i="10"/>
  <c r="L12" i="10"/>
  <c r="I12" i="10"/>
  <c r="H16" i="13"/>
  <c r="D12" i="16"/>
  <c r="Z11" i="10"/>
  <c r="Z10" i="10"/>
  <c r="AX16" i="15"/>
  <c r="T16" i="15"/>
  <c r="BJ16" i="15"/>
  <c r="N16" i="15"/>
  <c r="BD16" i="15"/>
  <c r="BV16" i="15"/>
  <c r="AF16" i="15"/>
  <c r="Z16" i="15"/>
  <c r="AL16" i="15"/>
  <c r="BP16" i="15"/>
  <c r="T11" i="10"/>
  <c r="AZ11" i="24"/>
  <c r="Z11" i="24"/>
  <c r="L11" i="10"/>
  <c r="I11" i="10"/>
  <c r="H15" i="13"/>
  <c r="BV15" i="15"/>
  <c r="AX15" i="15"/>
  <c r="Z15" i="15"/>
  <c r="AL15" i="15"/>
  <c r="T15" i="15"/>
  <c r="CB15" i="15"/>
  <c r="H15" i="15"/>
  <c r="N15" i="15"/>
  <c r="BP15" i="15"/>
  <c r="Z10" i="24"/>
  <c r="AZ10" i="24"/>
  <c r="L10" i="10"/>
  <c r="I10" i="10"/>
  <c r="H14" i="13"/>
  <c r="AX14" i="15"/>
  <c r="Z14" i="15"/>
  <c r="H14" i="15"/>
  <c r="BV14" i="15"/>
  <c r="AF14" i="15"/>
  <c r="BP14" i="15"/>
  <c r="T14" i="15"/>
  <c r="AL14" i="15"/>
  <c r="BJ14" i="15"/>
  <c r="BD14" i="15"/>
  <c r="N14" i="15"/>
  <c r="CB14" i="15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G27" i="10" s="1"/>
  <c r="F28" i="10"/>
  <c r="F29" i="10"/>
  <c r="F30" i="10"/>
  <c r="F31" i="10"/>
  <c r="F32" i="10"/>
  <c r="F33" i="10"/>
  <c r="F9" i="10"/>
  <c r="Z9" i="24"/>
  <c r="AZ9" i="24"/>
  <c r="Z9" i="10"/>
  <c r="L9" i="10"/>
  <c r="I9" i="10"/>
  <c r="H13" i="13"/>
  <c r="BV13" i="15"/>
  <c r="T13" i="15"/>
  <c r="N13" i="15"/>
  <c r="H13" i="15"/>
  <c r="AF13" i="15"/>
  <c r="BP13" i="15"/>
  <c r="Z13" i="15"/>
  <c r="BD13" i="15"/>
  <c r="AL13" i="15"/>
  <c r="CB13" i="15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4" i="10" s="1"/>
  <c r="D31" i="10"/>
  <c r="D32" i="10"/>
  <c r="D33" i="10"/>
  <c r="AZ8" i="24"/>
  <c r="Z8" i="24"/>
  <c r="Z8" i="10"/>
  <c r="L8" i="10"/>
  <c r="I8" i="10"/>
  <c r="H12" i="13"/>
  <c r="BD12" i="15"/>
  <c r="AR12" i="15"/>
  <c r="Z12" i="15"/>
  <c r="AF12" i="15"/>
  <c r="T12" i="15"/>
  <c r="CB12" i="15"/>
  <c r="BV12" i="15"/>
  <c r="N12" i="15"/>
  <c r="H12" i="15"/>
  <c r="D7" i="10"/>
  <c r="L7" i="10"/>
  <c r="AZ7" i="24"/>
  <c r="Z7" i="24"/>
  <c r="Z7" i="10"/>
  <c r="I7" i="10"/>
  <c r="H11" i="13"/>
  <c r="T11" i="15"/>
  <c r="BV11" i="15"/>
  <c r="AL11" i="15"/>
  <c r="BD11" i="15"/>
  <c r="CB11" i="15"/>
  <c r="N11" i="15"/>
  <c r="BJ11" i="15"/>
  <c r="Z11" i="15"/>
  <c r="BP11" i="15"/>
  <c r="H11" i="15"/>
  <c r="AZ6" i="24"/>
  <c r="Z6" i="24"/>
  <c r="Z6" i="10"/>
  <c r="L6" i="10"/>
  <c r="I6" i="10"/>
  <c r="H10" i="13"/>
  <c r="R4" i="23"/>
  <c r="P4" i="23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66" i="10" s="1"/>
  <c r="E31" i="10"/>
  <c r="E32" i="10"/>
  <c r="E33" i="10"/>
  <c r="E3" i="10"/>
  <c r="K8" i="13"/>
  <c r="K7" i="13"/>
  <c r="BP10" i="15"/>
  <c r="AR10" i="15"/>
  <c r="BD10" i="15"/>
  <c r="H10" i="15"/>
  <c r="N10" i="15"/>
  <c r="Z10" i="15"/>
  <c r="T10" i="15"/>
  <c r="BJ10" i="15"/>
  <c r="CB10" i="15"/>
  <c r="AL10" i="15"/>
  <c r="BV10" i="15"/>
  <c r="Z5" i="24"/>
  <c r="AZ5" i="24"/>
  <c r="Z5" i="10"/>
  <c r="L5" i="10"/>
  <c r="I5" i="10"/>
  <c r="H9" i="15"/>
  <c r="T9" i="15"/>
  <c r="AF9" i="15"/>
  <c r="AR9" i="15"/>
  <c r="BD9" i="15"/>
  <c r="AL9" i="15"/>
  <c r="CB9" i="15"/>
  <c r="AX9" i="15"/>
  <c r="BV9" i="15"/>
  <c r="BP9" i="15"/>
  <c r="N9" i="15"/>
  <c r="Z4" i="10"/>
  <c r="AZ4" i="24"/>
  <c r="Z4" i="24"/>
  <c r="L4" i="10"/>
  <c r="I4" i="10"/>
  <c r="H8" i="13"/>
  <c r="AF8" i="15"/>
  <c r="Z8" i="15"/>
  <c r="BP8" i="15"/>
  <c r="BD8" i="15"/>
  <c r="CB8" i="15"/>
  <c r="BV8" i="15"/>
  <c r="H8" i="15"/>
  <c r="AL8" i="15"/>
  <c r="T8" i="15"/>
  <c r="N8" i="15"/>
  <c r="AR8" i="15"/>
  <c r="F4" i="10"/>
  <c r="F5" i="10"/>
  <c r="F6" i="10"/>
  <c r="F7" i="10"/>
  <c r="F8" i="10"/>
  <c r="F3" i="10"/>
  <c r="K7" i="14"/>
  <c r="D4" i="10"/>
  <c r="D5" i="10"/>
  <c r="D6" i="10"/>
  <c r="D3" i="10"/>
  <c r="Z3" i="24"/>
  <c r="AB3" i="10"/>
  <c r="AB4" i="10"/>
  <c r="AB5" i="10"/>
  <c r="AB6" i="10"/>
  <c r="AB7" i="10"/>
  <c r="AB8" i="10"/>
  <c r="AB9" i="10"/>
  <c r="AB10" i="10"/>
  <c r="AB11" i="10"/>
  <c r="AB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C30" i="10" s="1"/>
  <c r="AB31" i="10"/>
  <c r="AB32" i="10"/>
  <c r="AB33" i="10"/>
  <c r="Z3" i="10"/>
  <c r="L3" i="10"/>
  <c r="I3" i="10"/>
  <c r="H7" i="13"/>
  <c r="D7" i="13"/>
  <c r="D20" i="23"/>
  <c r="CG27" i="15"/>
  <c r="CI27" i="15"/>
  <c r="CJ27" i="15"/>
  <c r="CG28" i="15"/>
  <c r="CI28" i="15"/>
  <c r="CJ28" i="15"/>
  <c r="CG29" i="15"/>
  <c r="CI29" i="15"/>
  <c r="CJ29" i="15"/>
  <c r="CG30" i="15"/>
  <c r="CI30" i="15"/>
  <c r="CJ30" i="15"/>
  <c r="CG31" i="15"/>
  <c r="CI31" i="15"/>
  <c r="CJ31" i="15"/>
  <c r="CG32" i="15"/>
  <c r="CI32" i="15"/>
  <c r="CJ32" i="15"/>
  <c r="CG33" i="15"/>
  <c r="CI33" i="15"/>
  <c r="CJ33" i="15"/>
  <c r="CG34" i="15"/>
  <c r="CI34" i="15"/>
  <c r="CJ34" i="15"/>
  <c r="CG35" i="15"/>
  <c r="CI35" i="15"/>
  <c r="CJ35" i="15"/>
  <c r="CG36" i="15"/>
  <c r="CI36" i="15"/>
  <c r="CJ36" i="15"/>
  <c r="CG37" i="15"/>
  <c r="CI37" i="15"/>
  <c r="CJ37" i="15"/>
  <c r="CG38" i="15"/>
  <c r="CI38" i="15"/>
  <c r="CJ38" i="15"/>
  <c r="CD28" i="15"/>
  <c r="CE28" i="15"/>
  <c r="CF28" i="15"/>
  <c r="CD29" i="15"/>
  <c r="CE29" i="15"/>
  <c r="CF29" i="15"/>
  <c r="CD30" i="15"/>
  <c r="CE30" i="15"/>
  <c r="CF30" i="15"/>
  <c r="CD31" i="15"/>
  <c r="CE31" i="15"/>
  <c r="CF31" i="15"/>
  <c r="CD32" i="15"/>
  <c r="CE32" i="15"/>
  <c r="CF32" i="15"/>
  <c r="CD33" i="15"/>
  <c r="CE33" i="15"/>
  <c r="CF33" i="15"/>
  <c r="CD34" i="15"/>
  <c r="CE34" i="15"/>
  <c r="CF34" i="15"/>
  <c r="CD35" i="15"/>
  <c r="CE35" i="15"/>
  <c r="CF35" i="15"/>
  <c r="CD36" i="15"/>
  <c r="CE36" i="15"/>
  <c r="CF36" i="15"/>
  <c r="CD37" i="15"/>
  <c r="CE37" i="15"/>
  <c r="CF37" i="15"/>
  <c r="CJ26" i="15"/>
  <c r="CI26" i="15"/>
  <c r="CG26" i="15"/>
  <c r="BK22" i="24"/>
  <c r="BK23" i="24"/>
  <c r="BK24" i="24"/>
  <c r="BK25" i="24"/>
  <c r="BK26" i="24"/>
  <c r="BK27" i="24"/>
  <c r="BK28" i="24"/>
  <c r="BK29" i="24"/>
  <c r="BK30" i="24"/>
  <c r="BM30" i="24" s="1"/>
  <c r="BK31" i="24"/>
  <c r="BK32" i="24"/>
  <c r="BK33" i="24"/>
  <c r="BK3" i="24"/>
  <c r="BK4" i="24"/>
  <c r="BK5" i="24"/>
  <c r="BK6" i="24"/>
  <c r="BK7" i="24"/>
  <c r="BK8" i="24"/>
  <c r="BK9" i="24"/>
  <c r="BK10" i="24"/>
  <c r="BK11" i="24"/>
  <c r="BK12" i="24"/>
  <c r="BK13" i="24"/>
  <c r="BK14" i="24"/>
  <c r="BK15" i="24"/>
  <c r="BK16" i="24"/>
  <c r="BK17" i="24"/>
  <c r="BK18" i="24"/>
  <c r="BK19" i="24"/>
  <c r="BK20" i="24"/>
  <c r="BK21" i="24"/>
  <c r="BJ19" i="24"/>
  <c r="T19" i="10"/>
  <c r="BJ20" i="24"/>
  <c r="T20" i="10"/>
  <c r="BJ21" i="24"/>
  <c r="T21" i="10"/>
  <c r="BJ22" i="24"/>
  <c r="T22" i="10"/>
  <c r="BJ23" i="24"/>
  <c r="T23" i="10"/>
  <c r="BJ24" i="24"/>
  <c r="T24" i="10"/>
  <c r="BJ25" i="24"/>
  <c r="T25" i="10"/>
  <c r="BJ26" i="24"/>
  <c r="T26" i="10"/>
  <c r="BJ27" i="24"/>
  <c r="BJ28" i="24"/>
  <c r="BM28" i="24" s="1"/>
  <c r="BJ29" i="24"/>
  <c r="T29" i="10" s="1"/>
  <c r="BJ30" i="24"/>
  <c r="T30" i="10" s="1"/>
  <c r="BJ31" i="24"/>
  <c r="BJ32" i="24"/>
  <c r="BJ33" i="24"/>
  <c r="BJ3" i="24"/>
  <c r="BJ4" i="24"/>
  <c r="T4" i="10"/>
  <c r="BJ5" i="24"/>
  <c r="T5" i="10"/>
  <c r="BJ6" i="24"/>
  <c r="T6" i="10"/>
  <c r="BJ7" i="24"/>
  <c r="T7" i="10"/>
  <c r="BJ8" i="24"/>
  <c r="T8" i="10"/>
  <c r="BJ9" i="24"/>
  <c r="T9" i="10"/>
  <c r="BJ10" i="24"/>
  <c r="T10" i="10"/>
  <c r="BJ11" i="24"/>
  <c r="BJ12" i="24"/>
  <c r="T12" i="10"/>
  <c r="BJ13" i="24"/>
  <c r="T13" i="10"/>
  <c r="BJ14" i="24"/>
  <c r="T14" i="10"/>
  <c r="BJ17" i="24"/>
  <c r="T17" i="10"/>
  <c r="BJ18" i="24"/>
  <c r="T18" i="10"/>
  <c r="BJ16" i="24"/>
  <c r="T16" i="10"/>
  <c r="BJ15" i="24"/>
  <c r="T15" i="10"/>
  <c r="CG17" i="15"/>
  <c r="L34" i="10"/>
  <c r="H4" i="10"/>
  <c r="N10" i="16"/>
  <c r="N9" i="16"/>
  <c r="N8" i="16"/>
  <c r="N7" i="16"/>
  <c r="H22" i="10"/>
  <c r="CH27" i="15"/>
  <c r="CG23" i="15"/>
  <c r="CG8" i="15"/>
  <c r="CJ21" i="15"/>
  <c r="BL9" i="24"/>
  <c r="BL10" i="24"/>
  <c r="BL11" i="24"/>
  <c r="BL12" i="24"/>
  <c r="BL13" i="24"/>
  <c r="BL14" i="24"/>
  <c r="BL15" i="24"/>
  <c r="BL16" i="24"/>
  <c r="BL17" i="24"/>
  <c r="BL18" i="24"/>
  <c r="BL19" i="24"/>
  <c r="BL20" i="24"/>
  <c r="BL21" i="24"/>
  <c r="BL22" i="24"/>
  <c r="BL23" i="24"/>
  <c r="BL24" i="24"/>
  <c r="BL25" i="24"/>
  <c r="BL26" i="24"/>
  <c r="BL27" i="24"/>
  <c r="BL28" i="24"/>
  <c r="BL29" i="24"/>
  <c r="BL30" i="24"/>
  <c r="BL31" i="24"/>
  <c r="BL32" i="24"/>
  <c r="BL33" i="24"/>
  <c r="BL3" i="24"/>
  <c r="BL4" i="24"/>
  <c r="BL5" i="24"/>
  <c r="BL6" i="24"/>
  <c r="BL7" i="24"/>
  <c r="BL8" i="24"/>
  <c r="CG12" i="15"/>
  <c r="BM15" i="24"/>
  <c r="BM14" i="24"/>
  <c r="BM31" i="24"/>
  <c r="BM32" i="24"/>
  <c r="BM33" i="24"/>
  <c r="BM27" i="24"/>
  <c r="BM23" i="24"/>
  <c r="BM24" i="24"/>
  <c r="BM22" i="24"/>
  <c r="BM26" i="24"/>
  <c r="BM21" i="24"/>
  <c r="BM19" i="24"/>
  <c r="BM18" i="24"/>
  <c r="BM17" i="24"/>
  <c r="BM25" i="24"/>
  <c r="BM12" i="24"/>
  <c r="BM13" i="24"/>
  <c r="BM20" i="24"/>
  <c r="BM10" i="24"/>
  <c r="BM11" i="24"/>
  <c r="BM9" i="24"/>
  <c r="BM16" i="24"/>
  <c r="BM8" i="24"/>
  <c r="BM7" i="24"/>
  <c r="AH5" i="10"/>
  <c r="BM4" i="24"/>
  <c r="BM5" i="24"/>
  <c r="BM6" i="24"/>
  <c r="CI8" i="15"/>
  <c r="E38" i="14"/>
  <c r="Q10" i="12" s="1"/>
  <c r="BM3" i="24"/>
  <c r="E38" i="13"/>
  <c r="L14" i="12" s="1"/>
  <c r="G66" i="22"/>
  <c r="G68" i="22" s="1"/>
  <c r="D66" i="22"/>
  <c r="CE8" i="15"/>
  <c r="CE9" i="15"/>
  <c r="CE10" i="15"/>
  <c r="CE11" i="15"/>
  <c r="CE12" i="15"/>
  <c r="CE13" i="15"/>
  <c r="CE14" i="15"/>
  <c r="CE15" i="15"/>
  <c r="CE16" i="15"/>
  <c r="CE17" i="15"/>
  <c r="CE18" i="15"/>
  <c r="CE19" i="15"/>
  <c r="CE20" i="15"/>
  <c r="CE21" i="15"/>
  <c r="CE22" i="15"/>
  <c r="CE23" i="15"/>
  <c r="CE24" i="15"/>
  <c r="CE25" i="15"/>
  <c r="CE26" i="15"/>
  <c r="CE27" i="15"/>
  <c r="D57" i="15"/>
  <c r="CD8" i="15"/>
  <c r="CF8" i="15"/>
  <c r="CJ8" i="15"/>
  <c r="CD9" i="15"/>
  <c r="CF9" i="15"/>
  <c r="CG9" i="15"/>
  <c r="CJ9" i="15"/>
  <c r="CD10" i="15"/>
  <c r="CF10" i="15"/>
  <c r="CG10" i="15"/>
  <c r="CJ10" i="15"/>
  <c r="CD11" i="15"/>
  <c r="CF11" i="15"/>
  <c r="CJ11" i="15"/>
  <c r="CD12" i="15"/>
  <c r="CF12" i="15"/>
  <c r="CJ12" i="15"/>
  <c r="CD13" i="15"/>
  <c r="CF13" i="15"/>
  <c r="CG13" i="15"/>
  <c r="CJ13" i="15"/>
  <c r="CD14" i="15"/>
  <c r="CF14" i="15"/>
  <c r="CG14" i="15"/>
  <c r="CJ14" i="15"/>
  <c r="CF15" i="15"/>
  <c r="CJ15" i="15"/>
  <c r="CD16" i="15"/>
  <c r="CF16" i="15"/>
  <c r="CJ16" i="15"/>
  <c r="CD17" i="15"/>
  <c r="CF17" i="15"/>
  <c r="CJ17" i="15"/>
  <c r="CD18" i="15"/>
  <c r="CF18" i="15"/>
  <c r="CG18" i="15"/>
  <c r="CJ18" i="15"/>
  <c r="CD19" i="15"/>
  <c r="CF19" i="15"/>
  <c r="CG19" i="15"/>
  <c r="CJ19" i="15"/>
  <c r="CD20" i="15"/>
  <c r="CF20" i="15"/>
  <c r="CG20" i="15"/>
  <c r="CI20" i="15"/>
  <c r="CJ20" i="15"/>
  <c r="CD21" i="15"/>
  <c r="CF21" i="15"/>
  <c r="CG21" i="15"/>
  <c r="CD22" i="15"/>
  <c r="CF22" i="15"/>
  <c r="CG22" i="15"/>
  <c r="CJ22" i="15"/>
  <c r="CD23" i="15"/>
  <c r="CF23" i="15"/>
  <c r="CJ23" i="15"/>
  <c r="CD24" i="15"/>
  <c r="CF24" i="15"/>
  <c r="CG24" i="15"/>
  <c r="CJ24" i="15"/>
  <c r="CD25" i="15"/>
  <c r="CF25" i="15"/>
  <c r="CG25" i="15"/>
  <c r="CJ25" i="15"/>
  <c r="CD26" i="15"/>
  <c r="CF26" i="15"/>
  <c r="CF27" i="15"/>
  <c r="CD27" i="15"/>
  <c r="L57" i="15"/>
  <c r="BZ39" i="15"/>
  <c r="BY39" i="15"/>
  <c r="BX39" i="15"/>
  <c r="CI25" i="15"/>
  <c r="CI24" i="15"/>
  <c r="CI23" i="15"/>
  <c r="CI22" i="15"/>
  <c r="CB39" i="15"/>
  <c r="H57" i="15" s="1"/>
  <c r="CI19" i="15"/>
  <c r="CI21" i="15"/>
  <c r="CI18" i="15"/>
  <c r="CI17" i="15"/>
  <c r="CG16" i="15"/>
  <c r="CI16" i="15"/>
  <c r="CG11" i="15"/>
  <c r="CI11" i="15"/>
  <c r="CD15" i="15"/>
  <c r="CG15" i="15"/>
  <c r="CI15" i="15"/>
  <c r="CI13" i="15"/>
  <c r="CI14" i="15"/>
  <c r="CI12" i="15"/>
  <c r="CI10" i="15"/>
  <c r="CI9" i="15"/>
  <c r="D22" i="23"/>
  <c r="D23" i="23"/>
  <c r="D24" i="23"/>
  <c r="D25" i="23"/>
  <c r="D26" i="23"/>
  <c r="D27" i="23"/>
  <c r="D28" i="23"/>
  <c r="D29" i="23"/>
  <c r="D30" i="23"/>
  <c r="D31" i="23"/>
  <c r="F31" i="23" s="1"/>
  <c r="D32" i="23"/>
  <c r="D33" i="23"/>
  <c r="D34" i="23"/>
  <c r="E66" i="22"/>
  <c r="E68" i="22" s="1"/>
  <c r="H45" i="22"/>
  <c r="F45" i="22"/>
  <c r="E38" i="9"/>
  <c r="G4" i="12" s="1"/>
  <c r="L39" i="15"/>
  <c r="I34" i="10"/>
  <c r="D25" i="13"/>
  <c r="Z40" i="15"/>
  <c r="AX39" i="15"/>
  <c r="H52" i="15" s="1"/>
  <c r="AH29" i="10"/>
  <c r="AH31" i="10"/>
  <c r="AH32" i="10"/>
  <c r="AH33" i="10"/>
  <c r="AI33" i="10"/>
  <c r="AH3" i="10"/>
  <c r="AH4" i="10"/>
  <c r="AH6" i="10"/>
  <c r="AH7" i="10"/>
  <c r="H8" i="23"/>
  <c r="AH8" i="10"/>
  <c r="AH9" i="10"/>
  <c r="AH10" i="10"/>
  <c r="AH11" i="10"/>
  <c r="AH13" i="10"/>
  <c r="AH14" i="10"/>
  <c r="AH15" i="10"/>
  <c r="AH16" i="10"/>
  <c r="AH17" i="10"/>
  <c r="H18" i="23"/>
  <c r="AH18" i="10"/>
  <c r="AH19" i="10"/>
  <c r="AH20" i="10"/>
  <c r="AH21" i="10"/>
  <c r="AH22" i="10"/>
  <c r="AH23" i="10"/>
  <c r="H24" i="23"/>
  <c r="K24" i="23"/>
  <c r="AH24" i="10"/>
  <c r="AH26" i="10"/>
  <c r="AH27" i="10"/>
  <c r="AH28" i="10"/>
  <c r="H29" i="23"/>
  <c r="AN3" i="10"/>
  <c r="AO3" i="10"/>
  <c r="AN39" i="15"/>
  <c r="T3" i="23"/>
  <c r="S3" i="23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4" i="22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8" i="14"/>
  <c r="D8" i="9"/>
  <c r="D8" i="13"/>
  <c r="D35" i="13"/>
  <c r="G35" i="13" s="1"/>
  <c r="D22" i="13"/>
  <c r="F32" i="23"/>
  <c r="D35" i="14"/>
  <c r="E39" i="13"/>
  <c r="E40" i="13" s="1"/>
  <c r="F40" i="13" s="1"/>
  <c r="F38" i="22"/>
  <c r="AH12" i="10"/>
  <c r="H13" i="23"/>
  <c r="K13" i="23"/>
  <c r="AH25" i="10"/>
  <c r="F9" i="22"/>
  <c r="F10" i="22"/>
  <c r="F11" i="22"/>
  <c r="G10" i="23"/>
  <c r="J10" i="23"/>
  <c r="Q15" i="10"/>
  <c r="Q16" i="10"/>
  <c r="Q17" i="10"/>
  <c r="Q19" i="10"/>
  <c r="Q24" i="10"/>
  <c r="Q25" i="10"/>
  <c r="Q26" i="10"/>
  <c r="Q27" i="10"/>
  <c r="Q31" i="10"/>
  <c r="D4" i="23"/>
  <c r="AN18" i="10"/>
  <c r="G7" i="23"/>
  <c r="J7" i="23"/>
  <c r="F40" i="10"/>
  <c r="H5" i="10"/>
  <c r="CH10" i="15"/>
  <c r="H6" i="10"/>
  <c r="CH11" i="15"/>
  <c r="H7" i="10"/>
  <c r="CH12" i="15"/>
  <c r="H8" i="10"/>
  <c r="CH13" i="15"/>
  <c r="H9" i="10"/>
  <c r="CH14" i="15"/>
  <c r="H10" i="10"/>
  <c r="F46" i="10"/>
  <c r="H11" i="10"/>
  <c r="CH16" i="15"/>
  <c r="H12" i="10"/>
  <c r="CH17" i="15"/>
  <c r="H13" i="10"/>
  <c r="D49" i="10"/>
  <c r="H14" i="10"/>
  <c r="H15" i="10"/>
  <c r="CH20" i="15"/>
  <c r="D25" i="14"/>
  <c r="D30" i="14"/>
  <c r="F28" i="23"/>
  <c r="F29" i="23"/>
  <c r="F30" i="23"/>
  <c r="D6" i="23"/>
  <c r="F6" i="23"/>
  <c r="D7" i="23"/>
  <c r="F7" i="23"/>
  <c r="D8" i="23"/>
  <c r="F8" i="23"/>
  <c r="D9" i="23"/>
  <c r="F9" i="23"/>
  <c r="D10" i="23"/>
  <c r="F10" i="23"/>
  <c r="D11" i="23"/>
  <c r="F11" i="23"/>
  <c r="D12" i="23"/>
  <c r="F12" i="23"/>
  <c r="D13" i="23"/>
  <c r="F13" i="23"/>
  <c r="D14" i="23"/>
  <c r="F14" i="23"/>
  <c r="D15" i="23"/>
  <c r="F15" i="23"/>
  <c r="D16" i="23"/>
  <c r="F16" i="23"/>
  <c r="D17" i="23"/>
  <c r="F17" i="23"/>
  <c r="N34" i="10"/>
  <c r="AM34" i="10"/>
  <c r="D40" i="14"/>
  <c r="D40" i="13"/>
  <c r="D29" i="13"/>
  <c r="D26" i="13"/>
  <c r="F5" i="22"/>
  <c r="F6" i="22"/>
  <c r="F7" i="22"/>
  <c r="F8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9" i="22"/>
  <c r="F40" i="22"/>
  <c r="F41" i="22"/>
  <c r="F42" i="22"/>
  <c r="F43" i="22"/>
  <c r="F44" i="22"/>
  <c r="F46" i="22"/>
  <c r="F47" i="22"/>
  <c r="F48" i="22"/>
  <c r="F49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F65" i="22"/>
  <c r="F4" i="22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7" i="14"/>
  <c r="G5" i="23"/>
  <c r="J5" i="23"/>
  <c r="G6" i="23"/>
  <c r="J6" i="23"/>
  <c r="G8" i="23"/>
  <c r="J8" i="23"/>
  <c r="G9" i="23"/>
  <c r="J9" i="23"/>
  <c r="G11" i="23"/>
  <c r="J11" i="23"/>
  <c r="G12" i="23"/>
  <c r="J12" i="23"/>
  <c r="G13" i="23"/>
  <c r="J13" i="23"/>
  <c r="G14" i="23"/>
  <c r="J14" i="23"/>
  <c r="G15" i="23"/>
  <c r="J15" i="23"/>
  <c r="G17" i="23"/>
  <c r="J17" i="23"/>
  <c r="G18" i="23"/>
  <c r="J18" i="23"/>
  <c r="G19" i="23"/>
  <c r="J19" i="23"/>
  <c r="G20" i="23"/>
  <c r="J20" i="23"/>
  <c r="G21" i="23"/>
  <c r="J21" i="23"/>
  <c r="G22" i="23"/>
  <c r="J22" i="23"/>
  <c r="G23" i="23"/>
  <c r="J23" i="23"/>
  <c r="G24" i="23"/>
  <c r="J24" i="23"/>
  <c r="G25" i="23"/>
  <c r="J25" i="23"/>
  <c r="G26" i="23"/>
  <c r="J26" i="23"/>
  <c r="G27" i="23"/>
  <c r="J27" i="23"/>
  <c r="G28" i="23"/>
  <c r="J28" i="23" s="1"/>
  <c r="G29" i="23"/>
  <c r="J29" i="23"/>
  <c r="G30" i="23"/>
  <c r="I30" i="23" s="1"/>
  <c r="L30" i="23" s="1"/>
  <c r="J30" i="23"/>
  <c r="G31" i="23"/>
  <c r="J31" i="23"/>
  <c r="G32" i="23"/>
  <c r="J32" i="23"/>
  <c r="G33" i="23"/>
  <c r="J33" i="23"/>
  <c r="G34" i="23"/>
  <c r="J34" i="23"/>
  <c r="G4" i="23"/>
  <c r="J4" i="23"/>
  <c r="AN5" i="10"/>
  <c r="AN6" i="10"/>
  <c r="AN7" i="10"/>
  <c r="AN8" i="10"/>
  <c r="AN9" i="10"/>
  <c r="AN10" i="10"/>
  <c r="AN11" i="10"/>
  <c r="AN12" i="10"/>
  <c r="AN13" i="10"/>
  <c r="AN14" i="10"/>
  <c r="AN15" i="10"/>
  <c r="AN16" i="10"/>
  <c r="AN17" i="10"/>
  <c r="AN19" i="10"/>
  <c r="AN20" i="10"/>
  <c r="AN21" i="10"/>
  <c r="AN22" i="10"/>
  <c r="AN23" i="10"/>
  <c r="AN24" i="10"/>
  <c r="AN25" i="10"/>
  <c r="AN26" i="10"/>
  <c r="AN27" i="10"/>
  <c r="AN28" i="10"/>
  <c r="AN29" i="10"/>
  <c r="AN30" i="10"/>
  <c r="AN31" i="10"/>
  <c r="AN32" i="10"/>
  <c r="AN33" i="10"/>
  <c r="AN4" i="10"/>
  <c r="AJ34" i="10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8" i="13"/>
  <c r="C9" i="15"/>
  <c r="C9" i="13"/>
  <c r="C5" i="10"/>
  <c r="G5" i="10"/>
  <c r="Q5" i="10"/>
  <c r="C5" i="24"/>
  <c r="C10" i="13"/>
  <c r="C6" i="24"/>
  <c r="C11" i="13"/>
  <c r="C12" i="15"/>
  <c r="C12" i="13"/>
  <c r="C8" i="24"/>
  <c r="C13" i="13"/>
  <c r="C14" i="13"/>
  <c r="C15" i="15"/>
  <c r="C15" i="13"/>
  <c r="C16" i="13"/>
  <c r="C12" i="10"/>
  <c r="G12" i="10"/>
  <c r="C17" i="13"/>
  <c r="C18" i="13"/>
  <c r="C14" i="10"/>
  <c r="G14" i="10"/>
  <c r="C19" i="13"/>
  <c r="C20" i="15"/>
  <c r="C20" i="13"/>
  <c r="C21" i="13"/>
  <c r="C17" i="24"/>
  <c r="C22" i="13"/>
  <c r="C23" i="15"/>
  <c r="C23" i="13"/>
  <c r="C19" i="10"/>
  <c r="C24" i="13"/>
  <c r="C25" i="13"/>
  <c r="C21" i="24"/>
  <c r="C26" i="13"/>
  <c r="C22" i="24"/>
  <c r="C27" i="13"/>
  <c r="C23" i="24"/>
  <c r="C28" i="13"/>
  <c r="C24" i="24"/>
  <c r="C29" i="13"/>
  <c r="C30" i="13"/>
  <c r="C26" i="10"/>
  <c r="G26" i="10"/>
  <c r="C31" i="13"/>
  <c r="C32" i="15"/>
  <c r="C32" i="13"/>
  <c r="C33" i="15"/>
  <c r="C33" i="13"/>
  <c r="C34" i="13"/>
  <c r="C30" i="10"/>
  <c r="C35" i="13"/>
  <c r="C36" i="13"/>
  <c r="C37" i="13"/>
  <c r="C33" i="24"/>
  <c r="C7" i="13"/>
  <c r="C4" i="23"/>
  <c r="F34" i="9"/>
  <c r="S31" i="12" s="1"/>
  <c r="F35" i="9"/>
  <c r="S32" i="12"/>
  <c r="F36" i="9"/>
  <c r="S33" i="12"/>
  <c r="F37" i="9"/>
  <c r="S34" i="12"/>
  <c r="D68" i="22"/>
  <c r="F27" i="23"/>
  <c r="F26" i="23"/>
  <c r="D30" i="13"/>
  <c r="F19" i="13"/>
  <c r="T16" i="12"/>
  <c r="F26" i="9"/>
  <c r="S23" i="12"/>
  <c r="C9" i="6"/>
  <c r="F34" i="23"/>
  <c r="D18" i="23"/>
  <c r="F18" i="23"/>
  <c r="D19" i="23"/>
  <c r="F19" i="23"/>
  <c r="F20" i="23"/>
  <c r="D21" i="23"/>
  <c r="F21" i="23"/>
  <c r="F22" i="23"/>
  <c r="F23" i="23"/>
  <c r="F24" i="23"/>
  <c r="F25" i="23"/>
  <c r="F33" i="23"/>
  <c r="D5" i="23"/>
  <c r="F5" i="23"/>
  <c r="F21" i="9"/>
  <c r="S18" i="12"/>
  <c r="F20" i="9"/>
  <c r="S17" i="12"/>
  <c r="F19" i="9"/>
  <c r="S16" i="12"/>
  <c r="F22" i="9"/>
  <c r="F23" i="9"/>
  <c r="S20" i="12"/>
  <c r="F24" i="9"/>
  <c r="S21" i="12"/>
  <c r="F25" i="9"/>
  <c r="S22" i="12"/>
  <c r="F27" i="9"/>
  <c r="S24" i="12"/>
  <c r="F28" i="9"/>
  <c r="S25" i="12"/>
  <c r="F29" i="9"/>
  <c r="S26" i="12"/>
  <c r="F30" i="9"/>
  <c r="F31" i="9"/>
  <c r="F38" i="9" s="1"/>
  <c r="S28" i="12"/>
  <c r="F32" i="9"/>
  <c r="S29" i="12"/>
  <c r="F33" i="9"/>
  <c r="S30" i="12" s="1"/>
  <c r="F19" i="14"/>
  <c r="U16" i="12"/>
  <c r="D19" i="13"/>
  <c r="D18" i="13"/>
  <c r="D15" i="13"/>
  <c r="D14" i="14"/>
  <c r="H16" i="10"/>
  <c r="H17" i="10"/>
  <c r="H18" i="10"/>
  <c r="CH23" i="15"/>
  <c r="H19" i="10"/>
  <c r="CH24" i="15"/>
  <c r="H20" i="10"/>
  <c r="E56" i="10"/>
  <c r="H21" i="10"/>
  <c r="CH26" i="15"/>
  <c r="H23" i="10"/>
  <c r="CH28" i="15"/>
  <c r="H24" i="10"/>
  <c r="CH29" i="15"/>
  <c r="H25" i="10"/>
  <c r="CH30" i="15"/>
  <c r="H26" i="10"/>
  <c r="F62" i="10"/>
  <c r="H27" i="10"/>
  <c r="D63" i="10" s="1"/>
  <c r="H28" i="10"/>
  <c r="D64" i="10" s="1"/>
  <c r="H29" i="10"/>
  <c r="CH34" i="15" s="1"/>
  <c r="H30" i="10"/>
  <c r="H31" i="10"/>
  <c r="H32" i="10"/>
  <c r="CH37" i="15"/>
  <c r="H33" i="10"/>
  <c r="CH38" i="15"/>
  <c r="D13" i="14"/>
  <c r="F13" i="14"/>
  <c r="F14" i="14"/>
  <c r="D15" i="14"/>
  <c r="F15" i="14"/>
  <c r="U12" i="12"/>
  <c r="D16" i="14"/>
  <c r="F16" i="14"/>
  <c r="U13" i="12"/>
  <c r="D17" i="14"/>
  <c r="F17" i="14"/>
  <c r="U14" i="12"/>
  <c r="D18" i="14"/>
  <c r="F18" i="14"/>
  <c r="D19" i="14"/>
  <c r="D20" i="14"/>
  <c r="F20" i="14"/>
  <c r="U17" i="12"/>
  <c r="D21" i="14"/>
  <c r="F21" i="14"/>
  <c r="U18" i="12"/>
  <c r="D22" i="14"/>
  <c r="F22" i="14"/>
  <c r="U19" i="12"/>
  <c r="D23" i="14"/>
  <c r="F23" i="14"/>
  <c r="U20" i="12"/>
  <c r="D24" i="14"/>
  <c r="F24" i="14"/>
  <c r="U21" i="12"/>
  <c r="F25" i="14"/>
  <c r="U22" i="12"/>
  <c r="D26" i="14"/>
  <c r="F26" i="14"/>
  <c r="U23" i="12"/>
  <c r="D27" i="14"/>
  <c r="F27" i="14"/>
  <c r="U24" i="12"/>
  <c r="D28" i="14"/>
  <c r="F28" i="14"/>
  <c r="U25" i="12"/>
  <c r="D29" i="14"/>
  <c r="F29" i="14"/>
  <c r="U26" i="12"/>
  <c r="F30" i="14"/>
  <c r="U27" i="12"/>
  <c r="D31" i="14"/>
  <c r="F31" i="14"/>
  <c r="U28" i="12"/>
  <c r="D32" i="14"/>
  <c r="F32" i="14"/>
  <c r="U29" i="12"/>
  <c r="F33" i="14"/>
  <c r="U30" i="12"/>
  <c r="D13" i="13"/>
  <c r="F13" i="13"/>
  <c r="T10" i="12"/>
  <c r="D14" i="13"/>
  <c r="F14" i="13"/>
  <c r="T11" i="12"/>
  <c r="F15" i="13"/>
  <c r="T12" i="12"/>
  <c r="D16" i="13"/>
  <c r="F16" i="13"/>
  <c r="T13" i="12"/>
  <c r="D17" i="13"/>
  <c r="F17" i="13"/>
  <c r="T14" i="12"/>
  <c r="F18" i="13"/>
  <c r="T15" i="12"/>
  <c r="D20" i="13"/>
  <c r="F20" i="13"/>
  <c r="T17" i="12"/>
  <c r="D21" i="13"/>
  <c r="F21" i="13"/>
  <c r="T18" i="12"/>
  <c r="F22" i="13"/>
  <c r="T19" i="12"/>
  <c r="D23" i="13"/>
  <c r="F23" i="13"/>
  <c r="T20" i="12"/>
  <c r="D24" i="13"/>
  <c r="F24" i="13"/>
  <c r="T21" i="12"/>
  <c r="F25" i="13"/>
  <c r="T22" i="12"/>
  <c r="F26" i="13"/>
  <c r="D27" i="13"/>
  <c r="F27" i="13"/>
  <c r="T24" i="12"/>
  <c r="D28" i="13"/>
  <c r="F28" i="13"/>
  <c r="T25" i="12"/>
  <c r="F29" i="13"/>
  <c r="T26" i="12"/>
  <c r="F30" i="13"/>
  <c r="D31" i="13"/>
  <c r="F31" i="13"/>
  <c r="T28" i="12"/>
  <c r="D32" i="13"/>
  <c r="F32" i="13"/>
  <c r="T29" i="12"/>
  <c r="D33" i="13"/>
  <c r="F33" i="13"/>
  <c r="T30" i="12" s="1"/>
  <c r="F13" i="9"/>
  <c r="S10" i="12"/>
  <c r="F14" i="9"/>
  <c r="S11" i="12"/>
  <c r="F15" i="9"/>
  <c r="S12" i="12"/>
  <c r="F16" i="9"/>
  <c r="S13" i="12"/>
  <c r="F17" i="9"/>
  <c r="S14" i="12"/>
  <c r="F18" i="9"/>
  <c r="S15" i="12"/>
  <c r="F34" i="13"/>
  <c r="F39" i="13" s="1"/>
  <c r="F37" i="14"/>
  <c r="U34" i="12"/>
  <c r="F36" i="14"/>
  <c r="U33" i="12"/>
  <c r="F35" i="14"/>
  <c r="U32" i="12"/>
  <c r="F34" i="14"/>
  <c r="U31" i="12" s="1"/>
  <c r="U35" i="12" s="1"/>
  <c r="F12" i="14"/>
  <c r="U9" i="12"/>
  <c r="F11" i="14"/>
  <c r="U8" i="12"/>
  <c r="F10" i="14"/>
  <c r="U7" i="12"/>
  <c r="F9" i="14"/>
  <c r="U6" i="12"/>
  <c r="F8" i="14"/>
  <c r="F7" i="14"/>
  <c r="F12" i="9"/>
  <c r="G12" i="9"/>
  <c r="I12" i="9"/>
  <c r="D9" i="12"/>
  <c r="F9" i="12"/>
  <c r="F11" i="9"/>
  <c r="S8" i="12"/>
  <c r="F10" i="9"/>
  <c r="S7" i="12"/>
  <c r="F9" i="9"/>
  <c r="S6" i="12"/>
  <c r="F8" i="9"/>
  <c r="F7" i="9"/>
  <c r="G7" i="9"/>
  <c r="I7" i="9"/>
  <c r="J7" i="9"/>
  <c r="K7" i="9"/>
  <c r="F37" i="13"/>
  <c r="T34" i="12"/>
  <c r="F36" i="13"/>
  <c r="F35" i="13"/>
  <c r="T32" i="12"/>
  <c r="F12" i="13"/>
  <c r="T9" i="12"/>
  <c r="F11" i="13"/>
  <c r="T8" i="12"/>
  <c r="F10" i="13"/>
  <c r="F9" i="13"/>
  <c r="T6" i="12"/>
  <c r="F8" i="13"/>
  <c r="T5" i="12"/>
  <c r="F7" i="13"/>
  <c r="E39" i="9"/>
  <c r="E40" i="9" s="1"/>
  <c r="F40" i="9" s="1"/>
  <c r="H3" i="10"/>
  <c r="E39" i="10"/>
  <c r="D39" i="15"/>
  <c r="AD34" i="10"/>
  <c r="P34" i="10"/>
  <c r="Q34" i="10" s="1"/>
  <c r="R34" i="10"/>
  <c r="X34" i="10"/>
  <c r="AF34" i="10"/>
  <c r="E39" i="14"/>
  <c r="E40" i="14" s="1"/>
  <c r="F40" i="14" s="1"/>
  <c r="C11" i="6"/>
  <c r="C10" i="6"/>
  <c r="Q9" i="10"/>
  <c r="Q12" i="10"/>
  <c r="D9" i="14"/>
  <c r="D10" i="14"/>
  <c r="D11" i="14"/>
  <c r="D12" i="14"/>
  <c r="D34" i="14"/>
  <c r="D36" i="14"/>
  <c r="D37" i="14"/>
  <c r="D10" i="13"/>
  <c r="D11" i="13"/>
  <c r="D12" i="13"/>
  <c r="D34" i="13"/>
  <c r="D36" i="13"/>
  <c r="D37" i="13"/>
  <c r="D9" i="13"/>
  <c r="D56" i="15"/>
  <c r="D55" i="15"/>
  <c r="D54" i="15"/>
  <c r="D53" i="15"/>
  <c r="D52" i="15"/>
  <c r="D51" i="15"/>
  <c r="D50" i="15"/>
  <c r="D49" i="15"/>
  <c r="D48" i="15"/>
  <c r="D47" i="15"/>
  <c r="D46" i="15"/>
  <c r="D45" i="15"/>
  <c r="L56" i="15"/>
  <c r="L55" i="15"/>
  <c r="L51" i="15"/>
  <c r="L50" i="15"/>
  <c r="L49" i="15"/>
  <c r="L48" i="15"/>
  <c r="L45" i="15"/>
  <c r="BT39" i="15"/>
  <c r="BS39" i="15"/>
  <c r="BN39" i="15"/>
  <c r="BM39" i="15"/>
  <c r="BL39" i="15"/>
  <c r="BG39" i="15"/>
  <c r="BF39" i="15"/>
  <c r="BB39" i="15"/>
  <c r="BA39" i="15"/>
  <c r="AZ39" i="15"/>
  <c r="AV39" i="15"/>
  <c r="AT39" i="15"/>
  <c r="AP39" i="15"/>
  <c r="AO39" i="15"/>
  <c r="F51" i="15" s="1"/>
  <c r="AJ39" i="15"/>
  <c r="AI39" i="15"/>
  <c r="CE38" i="15" s="1"/>
  <c r="AH39" i="15"/>
  <c r="CD38" i="15"/>
  <c r="AD39" i="15"/>
  <c r="AC39" i="15"/>
  <c r="AB39" i="15"/>
  <c r="X39" i="15"/>
  <c r="W39" i="15"/>
  <c r="V39" i="15"/>
  <c r="Q39" i="15"/>
  <c r="P39" i="15"/>
  <c r="K39" i="15"/>
  <c r="J39" i="15"/>
  <c r="E39" i="15"/>
  <c r="BD39" i="15"/>
  <c r="H53" i="15" s="1"/>
  <c r="AF39" i="15"/>
  <c r="BR39" i="15"/>
  <c r="R39" i="15"/>
  <c r="F47" i="15" s="1"/>
  <c r="BH39" i="15"/>
  <c r="AU39" i="15"/>
  <c r="AE20" i="10"/>
  <c r="AE22" i="10"/>
  <c r="AE13" i="10"/>
  <c r="AE27" i="10"/>
  <c r="AE18" i="10"/>
  <c r="AE5" i="10"/>
  <c r="AE33" i="10"/>
  <c r="AE14" i="10"/>
  <c r="D33" i="14"/>
  <c r="AE8" i="10"/>
  <c r="AE4" i="10"/>
  <c r="Q8" i="10"/>
  <c r="Q6" i="10"/>
  <c r="AE16" i="10"/>
  <c r="AE32" i="10"/>
  <c r="AE10" i="10"/>
  <c r="AR39" i="15"/>
  <c r="H51" i="15" s="1"/>
  <c r="T39" i="15"/>
  <c r="H47" i="15" s="1"/>
  <c r="Z34" i="10"/>
  <c r="AE26" i="10"/>
  <c r="AE11" i="10"/>
  <c r="U11" i="12"/>
  <c r="AE15" i="10"/>
  <c r="AE7" i="10"/>
  <c r="G16" i="23"/>
  <c r="J16" i="23"/>
  <c r="AE28" i="10"/>
  <c r="AE21" i="10"/>
  <c r="AE17" i="10"/>
  <c r="AE6" i="10"/>
  <c r="AE30" i="10"/>
  <c r="C22" i="15"/>
  <c r="E42" i="10"/>
  <c r="Q11" i="10"/>
  <c r="S19" i="12"/>
  <c r="Q32" i="10"/>
  <c r="C30" i="24"/>
  <c r="C27" i="24"/>
  <c r="N40" i="15"/>
  <c r="Q29" i="10"/>
  <c r="Q18" i="10"/>
  <c r="C31" i="10"/>
  <c r="G31" i="10"/>
  <c r="W28" i="10"/>
  <c r="AE3" i="10"/>
  <c r="F58" i="10"/>
  <c r="Q3" i="10"/>
  <c r="W22" i="10"/>
  <c r="F69" i="10"/>
  <c r="BP39" i="15"/>
  <c r="H55" i="15" s="1"/>
  <c r="H39" i="15"/>
  <c r="H40" i="15"/>
  <c r="BV39" i="15"/>
  <c r="H56" i="15" s="1"/>
  <c r="AL39" i="15"/>
  <c r="Z39" i="15"/>
  <c r="BJ39" i="15"/>
  <c r="BJ41" i="15" s="1"/>
  <c r="N39" i="15"/>
  <c r="H46" i="15" s="1"/>
  <c r="T40" i="15"/>
  <c r="H45" i="15"/>
  <c r="H41" i="15"/>
  <c r="C13" i="24"/>
  <c r="C9" i="24"/>
  <c r="C10" i="15"/>
  <c r="T4" i="12"/>
  <c r="G7" i="13"/>
  <c r="E67" i="10"/>
  <c r="CH36" i="15"/>
  <c r="CH35" i="15"/>
  <c r="F64" i="10"/>
  <c r="CH33" i="15"/>
  <c r="E62" i="10"/>
  <c r="CH31" i="15"/>
  <c r="G20" i="9"/>
  <c r="I20" i="9"/>
  <c r="D17" i="12"/>
  <c r="F17" i="12"/>
  <c r="Q30" i="10"/>
  <c r="AE19" i="10"/>
  <c r="G19" i="10"/>
  <c r="J19" i="10"/>
  <c r="C15" i="24"/>
  <c r="G18" i="14"/>
  <c r="I18" i="14"/>
  <c r="N15" i="12"/>
  <c r="P15" i="12"/>
  <c r="G27" i="14"/>
  <c r="I27" i="14"/>
  <c r="N24" i="12"/>
  <c r="P24" i="12"/>
  <c r="E57" i="10"/>
  <c r="G22" i="14"/>
  <c r="I22" i="14"/>
  <c r="N19" i="12"/>
  <c r="P19" i="12"/>
  <c r="S9" i="12"/>
  <c r="G9" i="14"/>
  <c r="I9" i="14"/>
  <c r="N6" i="12"/>
  <c r="P6" i="12"/>
  <c r="G8" i="14"/>
  <c r="I8" i="14"/>
  <c r="N5" i="12"/>
  <c r="P5" i="12"/>
  <c r="C33" i="10"/>
  <c r="G33" i="10"/>
  <c r="O33" i="10"/>
  <c r="C38" i="15"/>
  <c r="C32" i="24"/>
  <c r="C37" i="15"/>
  <c r="C27" i="10"/>
  <c r="AC27" i="10"/>
  <c r="C25" i="10"/>
  <c r="C30" i="15"/>
  <c r="C20" i="10"/>
  <c r="G20" i="10"/>
  <c r="C25" i="15"/>
  <c r="C18" i="24"/>
  <c r="C9" i="10"/>
  <c r="G9" i="10"/>
  <c r="AE9" i="10"/>
  <c r="C14" i="15"/>
  <c r="C7" i="24"/>
  <c r="C7" i="10"/>
  <c r="G7" i="10"/>
  <c r="W7" i="10"/>
  <c r="C6" i="10"/>
  <c r="C11" i="15"/>
  <c r="G36" i="13"/>
  <c r="I36" i="13"/>
  <c r="I33" i="12"/>
  <c r="K33" i="12"/>
  <c r="U15" i="12"/>
  <c r="G37" i="14"/>
  <c r="I37" i="14"/>
  <c r="N34" i="12"/>
  <c r="P34" i="12"/>
  <c r="G15" i="14"/>
  <c r="I15" i="14"/>
  <c r="N12" i="12"/>
  <c r="P12" i="12"/>
  <c r="G21" i="14"/>
  <c r="I21" i="14"/>
  <c r="N18" i="12"/>
  <c r="P18" i="12"/>
  <c r="G8" i="9"/>
  <c r="I8" i="9"/>
  <c r="D5" i="12"/>
  <c r="F5" i="12"/>
  <c r="F54" i="10"/>
  <c r="G36" i="9"/>
  <c r="I36" i="9"/>
  <c r="D33" i="12"/>
  <c r="F33" i="12"/>
  <c r="G30" i="14"/>
  <c r="I30" i="14"/>
  <c r="N27" i="12"/>
  <c r="P27" i="12"/>
  <c r="F68" i="10"/>
  <c r="E68" i="10"/>
  <c r="G20" i="14"/>
  <c r="I20" i="14"/>
  <c r="N17" i="12"/>
  <c r="P17" i="12"/>
  <c r="G20" i="13"/>
  <c r="I20" i="13"/>
  <c r="I17" i="12"/>
  <c r="K17" i="12"/>
  <c r="E55" i="10"/>
  <c r="M33" i="10"/>
  <c r="C67" i="10"/>
  <c r="C35" i="15"/>
  <c r="C28" i="10"/>
  <c r="G28" i="10"/>
  <c r="C28" i="24"/>
  <c r="C63" i="10"/>
  <c r="C25" i="24"/>
  <c r="W25" i="10"/>
  <c r="C28" i="15"/>
  <c r="C23" i="10"/>
  <c r="G23" i="10"/>
  <c r="C15" i="10"/>
  <c r="G15" i="10"/>
  <c r="C50" i="10"/>
  <c r="C13" i="10"/>
  <c r="G13" i="10"/>
  <c r="W13" i="10"/>
  <c r="C18" i="15"/>
  <c r="C17" i="15"/>
  <c r="C48" i="10"/>
  <c r="W12" i="10"/>
  <c r="C10" i="24"/>
  <c r="C10" i="10"/>
  <c r="G10" i="10"/>
  <c r="W9" i="10"/>
  <c r="C13" i="15"/>
  <c r="C41" i="10"/>
  <c r="Y5" i="10"/>
  <c r="G19" i="14"/>
  <c r="I19" i="14"/>
  <c r="N16" i="12"/>
  <c r="P16" i="12"/>
  <c r="G21" i="9"/>
  <c r="I21" i="9"/>
  <c r="D18" i="12"/>
  <c r="F18" i="12"/>
  <c r="G19" i="9"/>
  <c r="I19" i="9"/>
  <c r="D16" i="12"/>
  <c r="F16" i="12"/>
  <c r="G14" i="14"/>
  <c r="I14" i="14"/>
  <c r="N11" i="12"/>
  <c r="P11" i="12"/>
  <c r="G32" i="14"/>
  <c r="I32" i="14" s="1"/>
  <c r="N29" i="12" s="1"/>
  <c r="P29" i="12" s="1"/>
  <c r="D69" i="10"/>
  <c r="F48" i="10"/>
  <c r="F39" i="10"/>
  <c r="G37" i="13"/>
  <c r="I37" i="13"/>
  <c r="I34" i="12"/>
  <c r="K34" i="12"/>
  <c r="G36" i="14"/>
  <c r="I36" i="14"/>
  <c r="N33" i="12"/>
  <c r="P33" i="12"/>
  <c r="G35" i="9"/>
  <c r="I35" i="9"/>
  <c r="D32" i="12"/>
  <c r="F32" i="12" s="1"/>
  <c r="G32" i="9"/>
  <c r="I32" i="9" s="1"/>
  <c r="D29" i="12" s="1"/>
  <c r="F29" i="12" s="1"/>
  <c r="G27" i="13"/>
  <c r="I27" i="13"/>
  <c r="I24" i="12"/>
  <c r="K24" i="12"/>
  <c r="G27" i="9"/>
  <c r="I27" i="9"/>
  <c r="D24" i="12"/>
  <c r="F24" i="12"/>
  <c r="G26" i="13"/>
  <c r="I26" i="13"/>
  <c r="I23" i="12"/>
  <c r="K23" i="12"/>
  <c r="D55" i="10"/>
  <c r="G17" i="14"/>
  <c r="I17" i="14"/>
  <c r="N14" i="12"/>
  <c r="P14" i="12"/>
  <c r="G16" i="13"/>
  <c r="I16" i="13"/>
  <c r="I13" i="12"/>
  <c r="K13" i="12"/>
  <c r="E54" i="10"/>
  <c r="F45" i="10"/>
  <c r="G13" i="14"/>
  <c r="I13" i="14"/>
  <c r="N10" i="12"/>
  <c r="P10" i="12"/>
  <c r="D44" i="10"/>
  <c r="F42" i="10"/>
  <c r="D42" i="10"/>
  <c r="C32" i="10"/>
  <c r="G32" i="10"/>
  <c r="C31" i="24"/>
  <c r="C36" i="15"/>
  <c r="M30" i="10"/>
  <c r="C66" i="10"/>
  <c r="C29" i="24"/>
  <c r="C31" i="15"/>
  <c r="C26" i="24"/>
  <c r="C24" i="10"/>
  <c r="G24" i="10"/>
  <c r="AE24" i="10"/>
  <c r="C29" i="15"/>
  <c r="C27" i="15"/>
  <c r="C26" i="15"/>
  <c r="C24" i="15"/>
  <c r="C19" i="24"/>
  <c r="C18" i="10"/>
  <c r="C17" i="10"/>
  <c r="C16" i="24"/>
  <c r="C16" i="10"/>
  <c r="G16" i="10"/>
  <c r="C21" i="15"/>
  <c r="C14" i="24"/>
  <c r="C19" i="15"/>
  <c r="C11" i="24"/>
  <c r="C8" i="10"/>
  <c r="G8" i="10"/>
  <c r="AI8" i="10"/>
  <c r="C4" i="24"/>
  <c r="C4" i="10"/>
  <c r="G4" i="10"/>
  <c r="C3" i="24"/>
  <c r="AI29" i="10"/>
  <c r="H30" i="23"/>
  <c r="K30" i="23"/>
  <c r="G15" i="9"/>
  <c r="I15" i="9"/>
  <c r="D12" i="12"/>
  <c r="F12" i="12"/>
  <c r="G24" i="14"/>
  <c r="I24" i="14"/>
  <c r="N21" i="12"/>
  <c r="P21" i="12"/>
  <c r="G8" i="13"/>
  <c r="I8" i="13"/>
  <c r="I5" i="12"/>
  <c r="K5" i="12"/>
  <c r="U10" i="12"/>
  <c r="G23" i="14"/>
  <c r="I23" i="14"/>
  <c r="N20" i="12"/>
  <c r="P20" i="12"/>
  <c r="G14" i="13"/>
  <c r="I14" i="13"/>
  <c r="I11" i="12"/>
  <c r="K11" i="12"/>
  <c r="S4" i="12"/>
  <c r="G33" i="14"/>
  <c r="I33" i="14" s="1"/>
  <c r="N30" i="12" s="1"/>
  <c r="P30" i="12" s="1"/>
  <c r="G25" i="14"/>
  <c r="I25" i="14"/>
  <c r="N22" i="12"/>
  <c r="P22" i="12"/>
  <c r="G10" i="14"/>
  <c r="I10" i="14"/>
  <c r="N7" i="12"/>
  <c r="P7" i="12"/>
  <c r="G22" i="9"/>
  <c r="I22" i="9"/>
  <c r="D19" i="12"/>
  <c r="F19" i="12"/>
  <c r="G33" i="9"/>
  <c r="I33" i="9"/>
  <c r="D30" i="12" s="1"/>
  <c r="F30" i="12" s="1"/>
  <c r="G35" i="14"/>
  <c r="I35" i="14"/>
  <c r="N32" i="12" s="1"/>
  <c r="P32" i="12" s="1"/>
  <c r="C12" i="6"/>
  <c r="G19" i="13"/>
  <c r="I19" i="13"/>
  <c r="I16" i="12"/>
  <c r="K16" i="12"/>
  <c r="G10" i="13"/>
  <c r="I10" i="13"/>
  <c r="I7" i="12"/>
  <c r="K7" i="12"/>
  <c r="E49" i="10"/>
  <c r="F44" i="10"/>
  <c r="G9" i="9"/>
  <c r="I9" i="9"/>
  <c r="D6" i="12"/>
  <c r="F6" i="12"/>
  <c r="D58" i="10"/>
  <c r="Q10" i="10"/>
  <c r="D56" i="10"/>
  <c r="CH25" i="15"/>
  <c r="D40" i="10"/>
  <c r="CH9" i="15"/>
  <c r="E47" i="10"/>
  <c r="D50" i="10"/>
  <c r="CH19" i="15"/>
  <c r="F53" i="10"/>
  <c r="CH22" i="15"/>
  <c r="F49" i="10"/>
  <c r="CH18" i="15"/>
  <c r="D39" i="10"/>
  <c r="CH8" i="15"/>
  <c r="F52" i="10"/>
  <c r="CH21" i="15"/>
  <c r="E46" i="10"/>
  <c r="CH15" i="15"/>
  <c r="Q20" i="10"/>
  <c r="W6" i="10"/>
  <c r="W8" i="10"/>
  <c r="E44" i="10"/>
  <c r="I35" i="13"/>
  <c r="I32" i="12" s="1"/>
  <c r="K32" i="12" s="1"/>
  <c r="T33" i="12"/>
  <c r="AI16" i="10"/>
  <c r="H17" i="23"/>
  <c r="K17" i="23"/>
  <c r="H5" i="23"/>
  <c r="K5" i="23"/>
  <c r="D67" i="10"/>
  <c r="F45" i="15"/>
  <c r="J45" i="15"/>
  <c r="G32" i="13"/>
  <c r="I32" i="13" s="1"/>
  <c r="I29" i="12" s="1"/>
  <c r="K29" i="12" s="1"/>
  <c r="D62" i="10"/>
  <c r="F61" i="10"/>
  <c r="G30" i="13"/>
  <c r="I30" i="13"/>
  <c r="I27" i="12"/>
  <c r="K27" i="12"/>
  <c r="K56" i="15"/>
  <c r="F60" i="10"/>
  <c r="E60" i="10"/>
  <c r="D60" i="10"/>
  <c r="G25" i="13"/>
  <c r="I25" i="13"/>
  <c r="I22" i="12"/>
  <c r="K22" i="12"/>
  <c r="G28" i="9"/>
  <c r="I28" i="9"/>
  <c r="D25" i="12"/>
  <c r="F25" i="12"/>
  <c r="D59" i="10"/>
  <c r="F54" i="15"/>
  <c r="E58" i="10"/>
  <c r="G23" i="9"/>
  <c r="I23" i="9"/>
  <c r="D20" i="12"/>
  <c r="F20" i="12"/>
  <c r="G22" i="13"/>
  <c r="I22" i="13"/>
  <c r="I19" i="12"/>
  <c r="K19" i="12"/>
  <c r="D54" i="10"/>
  <c r="E53" i="10"/>
  <c r="D53" i="10"/>
  <c r="G18" i="13"/>
  <c r="I18" i="13"/>
  <c r="I15" i="12"/>
  <c r="K15" i="12"/>
  <c r="E52" i="10"/>
  <c r="F51" i="10"/>
  <c r="D51" i="10"/>
  <c r="E51" i="10"/>
  <c r="K55" i="15"/>
  <c r="G18" i="9"/>
  <c r="I18" i="9"/>
  <c r="D15" i="12"/>
  <c r="F15" i="12"/>
  <c r="G16" i="14"/>
  <c r="I16" i="14"/>
  <c r="N13" i="12"/>
  <c r="P13" i="12"/>
  <c r="D46" i="10"/>
  <c r="G13" i="13"/>
  <c r="I13" i="13"/>
  <c r="I10" i="12"/>
  <c r="K10" i="12"/>
  <c r="G11" i="9"/>
  <c r="I11" i="9"/>
  <c r="D8" i="12"/>
  <c r="F8" i="12"/>
  <c r="T7" i="12"/>
  <c r="G10" i="9"/>
  <c r="I10" i="9"/>
  <c r="D7" i="12"/>
  <c r="F7" i="12"/>
  <c r="D45" i="10"/>
  <c r="K47" i="15"/>
  <c r="E43" i="10"/>
  <c r="H49" i="15"/>
  <c r="I7" i="13"/>
  <c r="J7" i="13"/>
  <c r="AO4" i="10"/>
  <c r="AO5" i="10"/>
  <c r="AO6" i="10"/>
  <c r="AO7" i="10"/>
  <c r="AO8" i="10"/>
  <c r="AO9" i="10"/>
  <c r="AO10" i="10"/>
  <c r="AO11" i="10"/>
  <c r="AO12" i="10"/>
  <c r="AO13" i="10"/>
  <c r="AO14" i="10"/>
  <c r="AO15" i="10"/>
  <c r="AO16" i="10"/>
  <c r="AO17" i="10"/>
  <c r="AO18" i="10"/>
  <c r="AO19" i="10"/>
  <c r="AO20" i="10"/>
  <c r="AO21" i="10"/>
  <c r="AO22" i="10"/>
  <c r="AO23" i="10"/>
  <c r="AO24" i="10"/>
  <c r="AO25" i="10"/>
  <c r="AO26" i="10"/>
  <c r="AO27" i="10"/>
  <c r="AO28" i="10" s="1"/>
  <c r="E40" i="10"/>
  <c r="C69" i="10"/>
  <c r="C29" i="10"/>
  <c r="G29" i="10"/>
  <c r="J29" i="10" s="1"/>
  <c r="AK29" i="10" s="1"/>
  <c r="C34" i="15"/>
  <c r="C62" i="10"/>
  <c r="S26" i="10"/>
  <c r="C22" i="10"/>
  <c r="C21" i="10"/>
  <c r="G21" i="10"/>
  <c r="C20" i="24"/>
  <c r="AA19" i="10"/>
  <c r="C55" i="10"/>
  <c r="C12" i="24"/>
  <c r="C16" i="15"/>
  <c r="C11" i="10"/>
  <c r="C8" i="15"/>
  <c r="C3" i="10"/>
  <c r="G17" i="9"/>
  <c r="I17" i="9"/>
  <c r="D14" i="12"/>
  <c r="F14" i="12"/>
  <c r="G16" i="9"/>
  <c r="I16" i="9"/>
  <c r="D13" i="12"/>
  <c r="F13" i="12"/>
  <c r="G12" i="13"/>
  <c r="I12" i="13"/>
  <c r="I9" i="12"/>
  <c r="K9" i="12"/>
  <c r="G11" i="14"/>
  <c r="I11" i="14"/>
  <c r="N8" i="12"/>
  <c r="P8" i="12"/>
  <c r="G11" i="13"/>
  <c r="I11" i="13"/>
  <c r="I8" i="12"/>
  <c r="K8" i="12"/>
  <c r="S5" i="12"/>
  <c r="G7" i="14"/>
  <c r="I7" i="14"/>
  <c r="N4" i="12"/>
  <c r="P4" i="12"/>
  <c r="G26" i="9"/>
  <c r="I26" i="9"/>
  <c r="D23" i="12"/>
  <c r="F23" i="12"/>
  <c r="G14" i="9"/>
  <c r="I14" i="9"/>
  <c r="D11" i="12"/>
  <c r="F11" i="12"/>
  <c r="G15" i="13"/>
  <c r="I15" i="13"/>
  <c r="I12" i="12"/>
  <c r="K12" i="12"/>
  <c r="G37" i="9"/>
  <c r="I37" i="9"/>
  <c r="D34" i="12"/>
  <c r="F34" i="12"/>
  <c r="U5" i="12"/>
  <c r="G29" i="14"/>
  <c r="I29" i="14"/>
  <c r="N26" i="12"/>
  <c r="P26" i="12"/>
  <c r="G24" i="13"/>
  <c r="I24" i="13"/>
  <c r="I21" i="12"/>
  <c r="K21" i="12"/>
  <c r="G31" i="13"/>
  <c r="I31" i="13"/>
  <c r="J31" i="13" s="1"/>
  <c r="G17" i="13"/>
  <c r="I17" i="13"/>
  <c r="I14" i="12"/>
  <c r="K14" i="12"/>
  <c r="G12" i="14"/>
  <c r="I12" i="14"/>
  <c r="N9" i="12"/>
  <c r="P9" i="12"/>
  <c r="G28" i="14"/>
  <c r="I28" i="14"/>
  <c r="N25" i="12"/>
  <c r="P25" i="12"/>
  <c r="G13" i="9"/>
  <c r="I13" i="9"/>
  <c r="D10" i="12"/>
  <c r="F10" i="12"/>
  <c r="U4" i="12"/>
  <c r="G9" i="13"/>
  <c r="I9" i="13"/>
  <c r="I6" i="12"/>
  <c r="K6" i="12"/>
  <c r="G31" i="14"/>
  <c r="I31" i="14"/>
  <c r="N28" i="12" s="1"/>
  <c r="P28" i="12" s="1"/>
  <c r="F4" i="23"/>
  <c r="M4" i="23"/>
  <c r="M5" i="23"/>
  <c r="M6" i="23"/>
  <c r="M7" i="23"/>
  <c r="M8" i="23"/>
  <c r="M9" i="23"/>
  <c r="M10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H14" i="23"/>
  <c r="I14" i="23"/>
  <c r="AI13" i="10"/>
  <c r="H19" i="23"/>
  <c r="I19" i="23"/>
  <c r="H9" i="23"/>
  <c r="I12" i="6"/>
  <c r="D52" i="10"/>
  <c r="E4" i="12"/>
  <c r="D4" i="12"/>
  <c r="F4" i="12"/>
  <c r="D48" i="10"/>
  <c r="Q4" i="10"/>
  <c r="AA33" i="10"/>
  <c r="S33" i="10"/>
  <c r="F43" i="10"/>
  <c r="S30" i="10"/>
  <c r="F47" i="10"/>
  <c r="F50" i="10"/>
  <c r="O23" i="10"/>
  <c r="E48" i="10"/>
  <c r="W15" i="10"/>
  <c r="E50" i="10"/>
  <c r="E41" i="10"/>
  <c r="G23" i="13"/>
  <c r="I23" i="13"/>
  <c r="I20" i="12"/>
  <c r="K20" i="12"/>
  <c r="AE12" i="10"/>
  <c r="W23" i="10"/>
  <c r="Y30" i="10"/>
  <c r="F67" i="10"/>
  <c r="E45" i="10"/>
  <c r="Q28" i="10"/>
  <c r="D41" i="10"/>
  <c r="U30" i="10"/>
  <c r="W18" i="10"/>
  <c r="F41" i="10"/>
  <c r="D47" i="10"/>
  <c r="O30" i="10"/>
  <c r="F56" i="10"/>
  <c r="F57" i="10"/>
  <c r="AG30" i="10"/>
  <c r="AA30" i="10"/>
  <c r="D57" i="10"/>
  <c r="D43" i="10"/>
  <c r="F55" i="10"/>
  <c r="E69" i="10"/>
  <c r="D68" i="10"/>
  <c r="F66" i="10"/>
  <c r="T41" i="15"/>
  <c r="K45" i="15"/>
  <c r="G25" i="9"/>
  <c r="I25" i="9"/>
  <c r="D22" i="12"/>
  <c r="F22" i="12"/>
  <c r="G21" i="13"/>
  <c r="I21" i="13"/>
  <c r="G24" i="9"/>
  <c r="I24" i="9"/>
  <c r="D21" i="12"/>
  <c r="F21" i="12"/>
  <c r="T23" i="12"/>
  <c r="G26" i="14"/>
  <c r="I26" i="14"/>
  <c r="N23" i="12"/>
  <c r="P23" i="12"/>
  <c r="G28" i="13"/>
  <c r="I28" i="13"/>
  <c r="I25" i="12"/>
  <c r="K25" i="12"/>
  <c r="G29" i="13"/>
  <c r="I29" i="13"/>
  <c r="I26" i="12"/>
  <c r="K26" i="12"/>
  <c r="G29" i="9"/>
  <c r="I29" i="9"/>
  <c r="D26" i="12"/>
  <c r="F26" i="12"/>
  <c r="T27" i="12"/>
  <c r="G30" i="9"/>
  <c r="I30" i="9"/>
  <c r="D27" i="12"/>
  <c r="F27" i="12"/>
  <c r="S27" i="12"/>
  <c r="I29" i="23"/>
  <c r="L29" i="23" s="1"/>
  <c r="V34" i="10"/>
  <c r="H22" i="23"/>
  <c r="K22" i="23"/>
  <c r="AI3" i="10"/>
  <c r="H4" i="23"/>
  <c r="K4" i="23"/>
  <c r="T34" i="10"/>
  <c r="H6" i="23"/>
  <c r="H15" i="23"/>
  <c r="H21" i="23"/>
  <c r="K21" i="23"/>
  <c r="AI20" i="10"/>
  <c r="H12" i="23"/>
  <c r="H20" i="23"/>
  <c r="K20" i="23"/>
  <c r="H11" i="23"/>
  <c r="AI10" i="10"/>
  <c r="AI9" i="10"/>
  <c r="H10" i="23"/>
  <c r="H33" i="23"/>
  <c r="AI32" i="10"/>
  <c r="AI15" i="10"/>
  <c r="H16" i="23"/>
  <c r="H28" i="23"/>
  <c r="K28" i="23" s="1"/>
  <c r="AI31" i="10"/>
  <c r="H32" i="23"/>
  <c r="AI26" i="10"/>
  <c r="H27" i="23"/>
  <c r="K27" i="23"/>
  <c r="H23" i="23"/>
  <c r="K23" i="23"/>
  <c r="AI23" i="10"/>
  <c r="I13" i="23"/>
  <c r="L13" i="23"/>
  <c r="I24" i="23"/>
  <c r="L24" i="23"/>
  <c r="H25" i="23"/>
  <c r="K25" i="23"/>
  <c r="I18" i="23"/>
  <c r="K18" i="23"/>
  <c r="K8" i="23"/>
  <c r="I8" i="23"/>
  <c r="K29" i="23"/>
  <c r="H26" i="23"/>
  <c r="K26" i="23"/>
  <c r="H7" i="23"/>
  <c r="AI7" i="10"/>
  <c r="H34" i="23"/>
  <c r="K48" i="15"/>
  <c r="K52" i="15"/>
  <c r="D61" i="10"/>
  <c r="E61" i="10"/>
  <c r="F55" i="15"/>
  <c r="K50" i="15"/>
  <c r="E59" i="10"/>
  <c r="F59" i="10"/>
  <c r="CD39" i="15"/>
  <c r="Z41" i="15"/>
  <c r="F48" i="15"/>
  <c r="BP41" i="15"/>
  <c r="H48" i="15"/>
  <c r="W19" i="10"/>
  <c r="O9" i="10"/>
  <c r="U9" i="10"/>
  <c r="W30" i="10"/>
  <c r="C16" i="16"/>
  <c r="C61" i="10"/>
  <c r="G25" i="10"/>
  <c r="AC25" i="10"/>
  <c r="AI22" i="10"/>
  <c r="G22" i="10"/>
  <c r="O22" i="10"/>
  <c r="G18" i="10"/>
  <c r="Y18" i="10"/>
  <c r="G17" i="10"/>
  <c r="M17" i="10"/>
  <c r="G11" i="10"/>
  <c r="J11" i="10"/>
  <c r="C45" i="10"/>
  <c r="C43" i="10"/>
  <c r="C42" i="10"/>
  <c r="G6" i="10"/>
  <c r="AI18" i="10"/>
  <c r="U33" i="10"/>
  <c r="M31" i="10"/>
  <c r="AE31" i="10"/>
  <c r="J33" i="10"/>
  <c r="AK33" i="10"/>
  <c r="Y33" i="10"/>
  <c r="W33" i="10"/>
  <c r="Q33" i="10"/>
  <c r="AC33" i="10"/>
  <c r="AG27" i="10"/>
  <c r="W27" i="10"/>
  <c r="AG33" i="10"/>
  <c r="W21" i="10"/>
  <c r="Q21" i="10"/>
  <c r="C56" i="10"/>
  <c r="I25" i="23"/>
  <c r="L25" i="23"/>
  <c r="J8" i="9"/>
  <c r="K8" i="9"/>
  <c r="O6" i="10"/>
  <c r="AI17" i="10"/>
  <c r="AI6" i="10"/>
  <c r="AI27" i="10"/>
  <c r="AI21" i="10"/>
  <c r="O29" i="10"/>
  <c r="AE29" i="10"/>
  <c r="AG12" i="10"/>
  <c r="O31" i="10"/>
  <c r="M26" i="23"/>
  <c r="M27" i="23"/>
  <c r="M28" i="23"/>
  <c r="M29" i="23"/>
  <c r="M30" i="23" s="1"/>
  <c r="C68" i="10"/>
  <c r="C64" i="10"/>
  <c r="C60" i="10"/>
  <c r="C59" i="10"/>
  <c r="C52" i="10"/>
  <c r="U16" i="10"/>
  <c r="C51" i="10"/>
  <c r="C49" i="10"/>
  <c r="C46" i="10"/>
  <c r="C44" i="10"/>
  <c r="C54" i="10"/>
  <c r="C53" i="10"/>
  <c r="AA16" i="10"/>
  <c r="C40" i="10"/>
  <c r="O4" i="10"/>
  <c r="K19" i="23"/>
  <c r="L19" i="23"/>
  <c r="I17" i="23"/>
  <c r="L17" i="23"/>
  <c r="I27" i="23"/>
  <c r="L27" i="23"/>
  <c r="I21" i="23"/>
  <c r="L21" i="23"/>
  <c r="I5" i="23"/>
  <c r="L5" i="23"/>
  <c r="U27" i="10"/>
  <c r="O27" i="10"/>
  <c r="W16" i="10"/>
  <c r="M19" i="10"/>
  <c r="AG26" i="10"/>
  <c r="AI5" i="10"/>
  <c r="AA26" i="10"/>
  <c r="Y27" i="10"/>
  <c r="Y26" i="10"/>
  <c r="W31" i="10"/>
  <c r="M14" i="10"/>
  <c r="W14" i="10"/>
  <c r="AI12" i="10"/>
  <c r="U19" i="10"/>
  <c r="Y19" i="10"/>
  <c r="AA12" i="10"/>
  <c r="M5" i="10"/>
  <c r="AC5" i="10"/>
  <c r="U5" i="10"/>
  <c r="O5" i="10"/>
  <c r="M26" i="10"/>
  <c r="AC26" i="10"/>
  <c r="U26" i="10"/>
  <c r="O26" i="10"/>
  <c r="W26" i="10"/>
  <c r="AI19" i="10"/>
  <c r="AG19" i="10"/>
  <c r="Y12" i="10"/>
  <c r="O12" i="10"/>
  <c r="AC12" i="10"/>
  <c r="AC31" i="10"/>
  <c r="M27" i="10"/>
  <c r="S27" i="10"/>
  <c r="Y31" i="10"/>
  <c r="S12" i="10"/>
  <c r="S19" i="10"/>
  <c r="S31" i="10"/>
  <c r="AC19" i="10"/>
  <c r="O19" i="10"/>
  <c r="U31" i="10"/>
  <c r="AG31" i="10"/>
  <c r="Y9" i="10"/>
  <c r="AC9" i="10"/>
  <c r="AA31" i="10"/>
  <c r="AA27" i="10"/>
  <c r="J26" i="10"/>
  <c r="I20" i="23"/>
  <c r="L20" i="23"/>
  <c r="J31" i="10"/>
  <c r="AK31" i="10"/>
  <c r="AK19" i="10"/>
  <c r="J5" i="10"/>
  <c r="K5" i="10"/>
  <c r="J4" i="12"/>
  <c r="J8" i="13"/>
  <c r="I4" i="12"/>
  <c r="K4" i="12"/>
  <c r="I4" i="23"/>
  <c r="L4" i="23"/>
  <c r="C65" i="10"/>
  <c r="C58" i="10"/>
  <c r="C57" i="10"/>
  <c r="J12" i="10"/>
  <c r="K12" i="10"/>
  <c r="C47" i="10"/>
  <c r="J9" i="10"/>
  <c r="K9" i="10"/>
  <c r="G3" i="10"/>
  <c r="W3" i="10"/>
  <c r="C39" i="10"/>
  <c r="J7" i="14"/>
  <c r="I28" i="23"/>
  <c r="I9" i="23"/>
  <c r="K9" i="23"/>
  <c r="K14" i="23"/>
  <c r="L14" i="23"/>
  <c r="I22" i="23"/>
  <c r="L22" i="23"/>
  <c r="Q14" i="10"/>
  <c r="AA14" i="10"/>
  <c r="AG9" i="10"/>
  <c r="AC14" i="10"/>
  <c r="U14" i="10"/>
  <c r="S5" i="10"/>
  <c r="S9" i="10"/>
  <c r="AI14" i="10"/>
  <c r="W5" i="10"/>
  <c r="M12" i="10"/>
  <c r="M9" i="10"/>
  <c r="U12" i="10"/>
  <c r="AA9" i="10"/>
  <c r="J14" i="10"/>
  <c r="K14" i="10"/>
  <c r="AA5" i="10"/>
  <c r="Y14" i="10"/>
  <c r="AG14" i="10"/>
  <c r="S14" i="10"/>
  <c r="O14" i="10"/>
  <c r="AG5" i="10"/>
  <c r="AC7" i="10"/>
  <c r="O7" i="10"/>
  <c r="Q7" i="10"/>
  <c r="Y7" i="10"/>
  <c r="S7" i="10"/>
  <c r="AG7" i="10"/>
  <c r="AA7" i="10"/>
  <c r="M7" i="10"/>
  <c r="J7" i="10"/>
  <c r="AK7" i="10"/>
  <c r="U7" i="10"/>
  <c r="I18" i="12"/>
  <c r="K18" i="12"/>
  <c r="I6" i="23"/>
  <c r="K6" i="23"/>
  <c r="I16" i="23"/>
  <c r="K16" i="23"/>
  <c r="K12" i="23"/>
  <c r="I12" i="23"/>
  <c r="I33" i="23"/>
  <c r="K33" i="23"/>
  <c r="K11" i="23"/>
  <c r="I11" i="23"/>
  <c r="I10" i="23"/>
  <c r="K10" i="23"/>
  <c r="I23" i="23"/>
  <c r="L23" i="23"/>
  <c r="K15" i="23"/>
  <c r="I15" i="23"/>
  <c r="I32" i="23"/>
  <c r="L32" i="23" s="1"/>
  <c r="K32" i="23"/>
  <c r="K7" i="23"/>
  <c r="I7" i="23"/>
  <c r="L8" i="23"/>
  <c r="I26" i="23"/>
  <c r="L26" i="23"/>
  <c r="K34" i="23"/>
  <c r="I34" i="23"/>
  <c r="L18" i="23"/>
  <c r="J48" i="15"/>
  <c r="AI11" i="10"/>
  <c r="AG17" i="10"/>
  <c r="S18" i="10"/>
  <c r="U17" i="10"/>
  <c r="AA17" i="10"/>
  <c r="O17" i="10"/>
  <c r="S17" i="10"/>
  <c r="U18" i="10"/>
  <c r="AA18" i="10"/>
  <c r="AC18" i="10"/>
  <c r="M18" i="10"/>
  <c r="AG18" i="10"/>
  <c r="Y17" i="10"/>
  <c r="W17" i="10"/>
  <c r="K33" i="10"/>
  <c r="U25" i="10"/>
  <c r="M25" i="10"/>
  <c r="AG25" i="10"/>
  <c r="AA25" i="10"/>
  <c r="Y25" i="10"/>
  <c r="U24" i="10"/>
  <c r="W24" i="10"/>
  <c r="AA32" i="10"/>
  <c r="W32" i="10"/>
  <c r="J25" i="10"/>
  <c r="K25" i="10"/>
  <c r="AE25" i="10"/>
  <c r="O25" i="10"/>
  <c r="AI25" i="10"/>
  <c r="J6" i="10"/>
  <c r="AK6" i="10"/>
  <c r="M6" i="10"/>
  <c r="S6" i="10"/>
  <c r="AC6" i="10"/>
  <c r="AA6" i="10"/>
  <c r="Y6" i="10"/>
  <c r="U6" i="10"/>
  <c r="AG6" i="10"/>
  <c r="S25" i="10"/>
  <c r="K26" i="10"/>
  <c r="AK26" i="10"/>
  <c r="Q23" i="10"/>
  <c r="AE23" i="10"/>
  <c r="AC20" i="10"/>
  <c r="S20" i="10"/>
  <c r="AG20" i="10"/>
  <c r="AA20" i="10"/>
  <c r="Y20" i="10"/>
  <c r="U20" i="10"/>
  <c r="O20" i="10"/>
  <c r="M20" i="10"/>
  <c r="W20" i="10"/>
  <c r="J20" i="10"/>
  <c r="J9" i="9"/>
  <c r="K9" i="9"/>
  <c r="E5" i="12"/>
  <c r="AC16" i="10"/>
  <c r="AG16" i="10"/>
  <c r="AG32" i="10"/>
  <c r="S16" i="10"/>
  <c r="AC32" i="10"/>
  <c r="Y32" i="10"/>
  <c r="O32" i="10"/>
  <c r="J24" i="10"/>
  <c r="K24" i="10"/>
  <c r="AI24" i="10"/>
  <c r="O24" i="10"/>
  <c r="M24" i="10"/>
  <c r="AA24" i="10"/>
  <c r="Y24" i="10"/>
  <c r="AC24" i="10"/>
  <c r="S24" i="10"/>
  <c r="AG24" i="10"/>
  <c r="J8" i="10"/>
  <c r="AK8" i="10"/>
  <c r="U8" i="10"/>
  <c r="AG8" i="10"/>
  <c r="Y8" i="10"/>
  <c r="O8" i="10"/>
  <c r="M8" i="10"/>
  <c r="AA8" i="10"/>
  <c r="S8" i="10"/>
  <c r="AC8" i="10"/>
  <c r="J10" i="10"/>
  <c r="AK10" i="10"/>
  <c r="O10" i="10"/>
  <c r="W10" i="10"/>
  <c r="M10" i="10"/>
  <c r="AA10" i="10"/>
  <c r="AC10" i="10"/>
  <c r="Y10" i="10"/>
  <c r="AG10" i="10"/>
  <c r="U10" i="10"/>
  <c r="S10" i="10"/>
  <c r="J28" i="10"/>
  <c r="AK28" i="10" s="1"/>
  <c r="O28" i="10"/>
  <c r="AA28" i="10"/>
  <c r="S28" i="10"/>
  <c r="AG28" i="10"/>
  <c r="AI28" i="10"/>
  <c r="AC28" i="10"/>
  <c r="Y28" i="10"/>
  <c r="M28" i="10"/>
  <c r="U28" i="10"/>
  <c r="S32" i="10"/>
  <c r="J15" i="10"/>
  <c r="K15" i="10"/>
  <c r="M15" i="10"/>
  <c r="U15" i="10"/>
  <c r="Y15" i="10"/>
  <c r="O15" i="10"/>
  <c r="AG15" i="10"/>
  <c r="AA15" i="10"/>
  <c r="S15" i="10"/>
  <c r="AC15" i="10"/>
  <c r="M32" i="10"/>
  <c r="U32" i="10"/>
  <c r="J16" i="10"/>
  <c r="AK16" i="10"/>
  <c r="Y16" i="10"/>
  <c r="O16" i="10"/>
  <c r="M16" i="10"/>
  <c r="J13" i="10"/>
  <c r="AK13" i="10"/>
  <c r="Q13" i="10"/>
  <c r="AC13" i="10"/>
  <c r="S13" i="10"/>
  <c r="AA13" i="10"/>
  <c r="Y13" i="10"/>
  <c r="AG13" i="10"/>
  <c r="M13" i="10"/>
  <c r="O13" i="10"/>
  <c r="U13" i="10"/>
  <c r="J23" i="10"/>
  <c r="K23" i="10"/>
  <c r="AC23" i="10"/>
  <c r="S23" i="10"/>
  <c r="U23" i="10"/>
  <c r="AG23" i="10"/>
  <c r="M23" i="10"/>
  <c r="AA23" i="10"/>
  <c r="Y23" i="10"/>
  <c r="J4" i="10"/>
  <c r="K4" i="10"/>
  <c r="W4" i="10"/>
  <c r="L7" i="23"/>
  <c r="J32" i="10"/>
  <c r="AK32" i="10"/>
  <c r="O18" i="10"/>
  <c r="J18" i="10"/>
  <c r="AC17" i="10"/>
  <c r="J17" i="10"/>
  <c r="AG4" i="10"/>
  <c r="AA4" i="10"/>
  <c r="AI4" i="10"/>
  <c r="AC4" i="10"/>
  <c r="M4" i="10"/>
  <c r="S4" i="10"/>
  <c r="U4" i="10"/>
  <c r="Y4" i="10"/>
  <c r="AA3" i="10"/>
  <c r="AG3" i="10"/>
  <c r="AC3" i="10"/>
  <c r="O3" i="10"/>
  <c r="Y3" i="10"/>
  <c r="U3" i="10"/>
  <c r="M3" i="10"/>
  <c r="AG21" i="10"/>
  <c r="M21" i="10"/>
  <c r="S21" i="10"/>
  <c r="AC21" i="10"/>
  <c r="AA21" i="10"/>
  <c r="U21" i="10"/>
  <c r="O21" i="10"/>
  <c r="Q22" i="10"/>
  <c r="U22" i="10"/>
  <c r="S22" i="10"/>
  <c r="AG22" i="10"/>
  <c r="Y22" i="10"/>
  <c r="AC22" i="10"/>
  <c r="AA22" i="10"/>
  <c r="AA29" i="10"/>
  <c r="AG29" i="10"/>
  <c r="S29" i="10"/>
  <c r="AC29" i="10"/>
  <c r="Y29" i="10"/>
  <c r="U29" i="10"/>
  <c r="W29" i="10"/>
  <c r="M29" i="10"/>
  <c r="L9" i="23"/>
  <c r="L34" i="23"/>
  <c r="K31" i="10"/>
  <c r="AK12" i="10"/>
  <c r="W11" i="10"/>
  <c r="Y11" i="10"/>
  <c r="S11" i="10"/>
  <c r="U11" i="10"/>
  <c r="O11" i="10"/>
  <c r="AG11" i="10"/>
  <c r="AC11" i="10"/>
  <c r="AA11" i="10"/>
  <c r="K19" i="10"/>
  <c r="AK5" i="10"/>
  <c r="J9" i="13"/>
  <c r="K9" i="13"/>
  <c r="J5" i="12"/>
  <c r="L5" i="12"/>
  <c r="J8" i="14"/>
  <c r="K8" i="14"/>
  <c r="O4" i="12"/>
  <c r="M22" i="10"/>
  <c r="J22" i="10"/>
  <c r="Y21" i="10"/>
  <c r="J21" i="10"/>
  <c r="AK14" i="10"/>
  <c r="M11" i="10"/>
  <c r="AK9" i="10"/>
  <c r="S3" i="10"/>
  <c r="J3" i="10"/>
  <c r="AK3" i="10"/>
  <c r="AL3" i="10"/>
  <c r="L15" i="23"/>
  <c r="L11" i="23"/>
  <c r="K7" i="10"/>
  <c r="L12" i="23"/>
  <c r="L16" i="23"/>
  <c r="L33" i="23"/>
  <c r="L10" i="23"/>
  <c r="L6" i="23"/>
  <c r="AK25" i="10"/>
  <c r="K6" i="10"/>
  <c r="AK20" i="10"/>
  <c r="K20" i="10"/>
  <c r="AK24" i="10"/>
  <c r="E6" i="12"/>
  <c r="J10" i="9"/>
  <c r="K10" i="9"/>
  <c r="K16" i="10"/>
  <c r="K10" i="10"/>
  <c r="K8" i="10"/>
  <c r="K13" i="10"/>
  <c r="AK15" i="10"/>
  <c r="AK23" i="10"/>
  <c r="AE34" i="10"/>
  <c r="K32" i="10"/>
  <c r="AK18" i="10"/>
  <c r="K18" i="10"/>
  <c r="K17" i="10"/>
  <c r="AK17" i="10"/>
  <c r="AK4" i="10"/>
  <c r="AL4" i="10"/>
  <c r="O5" i="12"/>
  <c r="J10" i="13"/>
  <c r="K10" i="13"/>
  <c r="J6" i="12"/>
  <c r="L6" i="12"/>
  <c r="J9" i="14"/>
  <c r="K9" i="14"/>
  <c r="K22" i="10"/>
  <c r="AK22" i="10"/>
  <c r="K21" i="10"/>
  <c r="AK21" i="10"/>
  <c r="AK11" i="10"/>
  <c r="K11" i="10"/>
  <c r="K3" i="10"/>
  <c r="C18" i="16"/>
  <c r="C17" i="16"/>
  <c r="C19" i="16"/>
  <c r="E7" i="12"/>
  <c r="J11" i="9"/>
  <c r="K11" i="9"/>
  <c r="AL5" i="10"/>
  <c r="AL6" i="10"/>
  <c r="AL7" i="10"/>
  <c r="AL8" i="10"/>
  <c r="AL9" i="10"/>
  <c r="AL10" i="10"/>
  <c r="AL11" i="10"/>
  <c r="AL12" i="10"/>
  <c r="AL13" i="10"/>
  <c r="AL14" i="10"/>
  <c r="AL15" i="10"/>
  <c r="AL16" i="10"/>
  <c r="AL17" i="10"/>
  <c r="AL18" i="10"/>
  <c r="AL19" i="10"/>
  <c r="AL20" i="10"/>
  <c r="AL21" i="10"/>
  <c r="AL22" i="10"/>
  <c r="AL23" i="10"/>
  <c r="AL24" i="10"/>
  <c r="AL25" i="10"/>
  <c r="AL26" i="10"/>
  <c r="J10" i="14"/>
  <c r="K10" i="14"/>
  <c r="J11" i="13"/>
  <c r="K11" i="13"/>
  <c r="J7" i="12"/>
  <c r="O6" i="12"/>
  <c r="E8" i="12"/>
  <c r="J12" i="9"/>
  <c r="K12" i="9"/>
  <c r="O7" i="12"/>
  <c r="J11" i="14"/>
  <c r="K11" i="14"/>
  <c r="J8" i="12"/>
  <c r="J12" i="13"/>
  <c r="K12" i="13"/>
  <c r="J13" i="9"/>
  <c r="K13" i="9"/>
  <c r="E9" i="12"/>
  <c r="O8" i="12"/>
  <c r="J12" i="14"/>
  <c r="K12" i="14"/>
  <c r="J9" i="12"/>
  <c r="J13" i="13"/>
  <c r="K13" i="13"/>
  <c r="E10" i="12"/>
  <c r="G10" i="12"/>
  <c r="J14" i="9"/>
  <c r="K14" i="9"/>
  <c r="J14" i="13"/>
  <c r="K14" i="13"/>
  <c r="J13" i="14"/>
  <c r="K13" i="14"/>
  <c r="O9" i="12"/>
  <c r="J10" i="12"/>
  <c r="J15" i="9"/>
  <c r="K15" i="9"/>
  <c r="E11" i="12"/>
  <c r="O10" i="12"/>
  <c r="J14" i="14"/>
  <c r="K14" i="14"/>
  <c r="J15" i="13"/>
  <c r="K15" i="13"/>
  <c r="J11" i="12"/>
  <c r="J16" i="9"/>
  <c r="K16" i="9"/>
  <c r="E12" i="12"/>
  <c r="J15" i="14"/>
  <c r="K15" i="14"/>
  <c r="O11" i="12"/>
  <c r="J16" i="13"/>
  <c r="K16" i="13"/>
  <c r="J12" i="12"/>
  <c r="E13" i="12"/>
  <c r="G13" i="12"/>
  <c r="J17" i="9"/>
  <c r="K17" i="9"/>
  <c r="O12" i="12"/>
  <c r="J16" i="14"/>
  <c r="K16" i="14"/>
  <c r="J17" i="13"/>
  <c r="K17" i="13"/>
  <c r="J13" i="12"/>
  <c r="J18" i="9"/>
  <c r="K18" i="9"/>
  <c r="E14" i="12"/>
  <c r="J17" i="14"/>
  <c r="K17" i="14"/>
  <c r="O13" i="12"/>
  <c r="J18" i="13"/>
  <c r="K18" i="13"/>
  <c r="J14" i="12"/>
  <c r="E15" i="12"/>
  <c r="G15" i="12"/>
  <c r="J19" i="9"/>
  <c r="K19" i="9"/>
  <c r="J18" i="14"/>
  <c r="K18" i="14"/>
  <c r="O14" i="12"/>
  <c r="J19" i="13"/>
  <c r="K19" i="13"/>
  <c r="J15" i="12"/>
  <c r="E16" i="12"/>
  <c r="G16" i="12"/>
  <c r="J20" i="9"/>
  <c r="K20" i="9"/>
  <c r="J19" i="14"/>
  <c r="K19" i="14"/>
  <c r="O15" i="12"/>
  <c r="J20" i="13"/>
  <c r="K20" i="13"/>
  <c r="J16" i="12"/>
  <c r="J21" i="9"/>
  <c r="K21" i="9"/>
  <c r="E17" i="12"/>
  <c r="O16" i="12"/>
  <c r="J20" i="14"/>
  <c r="K20" i="14"/>
  <c r="J21" i="13"/>
  <c r="K21" i="13"/>
  <c r="J17" i="12"/>
  <c r="J22" i="9"/>
  <c r="K22" i="9"/>
  <c r="E18" i="12"/>
  <c r="J21" i="14"/>
  <c r="K21" i="14"/>
  <c r="O17" i="12"/>
  <c r="J22" i="13"/>
  <c r="K22" i="13"/>
  <c r="J18" i="12"/>
  <c r="J23" i="9"/>
  <c r="K23" i="9"/>
  <c r="E19" i="12"/>
  <c r="O18" i="12"/>
  <c r="J22" i="14"/>
  <c r="K22" i="14"/>
  <c r="J19" i="12"/>
  <c r="J23" i="13"/>
  <c r="K23" i="13"/>
  <c r="J24" i="9"/>
  <c r="K24" i="9"/>
  <c r="E20" i="12"/>
  <c r="O19" i="12"/>
  <c r="J23" i="14"/>
  <c r="K23" i="14"/>
  <c r="J20" i="12"/>
  <c r="J24" i="13"/>
  <c r="K24" i="13"/>
  <c r="E21" i="12"/>
  <c r="J25" i="9"/>
  <c r="K25" i="9"/>
  <c r="J24" i="14"/>
  <c r="K24" i="14"/>
  <c r="O20" i="12"/>
  <c r="J21" i="12"/>
  <c r="J25" i="13"/>
  <c r="K25" i="13"/>
  <c r="J26" i="9"/>
  <c r="K26" i="9"/>
  <c r="E22" i="12"/>
  <c r="J25" i="14"/>
  <c r="K25" i="14"/>
  <c r="O21" i="12"/>
  <c r="J22" i="12"/>
  <c r="J26" i="13"/>
  <c r="K26" i="13"/>
  <c r="J27" i="9"/>
  <c r="K27" i="9"/>
  <c r="E23" i="12"/>
  <c r="J26" i="14"/>
  <c r="K26" i="14"/>
  <c r="O22" i="12"/>
  <c r="J27" i="13"/>
  <c r="K27" i="13"/>
  <c r="J23" i="12"/>
  <c r="E24" i="12"/>
  <c r="J28" i="9"/>
  <c r="K28" i="9"/>
  <c r="J27" i="14"/>
  <c r="K27" i="14"/>
  <c r="O23" i="12"/>
  <c r="J24" i="12"/>
  <c r="J28" i="13"/>
  <c r="K28" i="13"/>
  <c r="J29" i="9"/>
  <c r="K29" i="9"/>
  <c r="E25" i="12"/>
  <c r="J28" i="14"/>
  <c r="K28" i="14"/>
  <c r="O24" i="12"/>
  <c r="J25" i="12"/>
  <c r="J29" i="13"/>
  <c r="K29" i="13"/>
  <c r="E26" i="12"/>
  <c r="J30" i="9"/>
  <c r="K30" i="9"/>
  <c r="O25" i="12"/>
  <c r="J29" i="14"/>
  <c r="K29" i="14"/>
  <c r="J30" i="13"/>
  <c r="K30" i="13"/>
  <c r="J26" i="12"/>
  <c r="E27" i="12"/>
  <c r="J30" i="14"/>
  <c r="K30" i="14"/>
  <c r="O26" i="12"/>
  <c r="J27" i="12"/>
  <c r="O27" i="12"/>
  <c r="F57" i="15" l="1"/>
  <c r="F52" i="15"/>
  <c r="AB34" i="10"/>
  <c r="AH30" i="10"/>
  <c r="AI30" i="10"/>
  <c r="E34" i="10"/>
  <c r="D66" i="10"/>
  <c r="G30" i="10"/>
  <c r="J30" i="10" s="1"/>
  <c r="F56" i="15"/>
  <c r="J56" i="15"/>
  <c r="F50" i="15"/>
  <c r="AF41" i="15"/>
  <c r="J57" i="15"/>
  <c r="K46" i="15"/>
  <c r="BD41" i="15"/>
  <c r="F53" i="15"/>
  <c r="M31" i="23"/>
  <c r="M32" i="23" s="1"/>
  <c r="M33" i="23" s="1"/>
  <c r="M34" i="23" s="1"/>
  <c r="BM29" i="24"/>
  <c r="F65" i="10"/>
  <c r="D65" i="10"/>
  <c r="E65" i="10"/>
  <c r="K29" i="10"/>
  <c r="S35" i="12"/>
  <c r="G33" i="13"/>
  <c r="I33" i="13" s="1"/>
  <c r="I30" i="12" s="1"/>
  <c r="K30" i="12" s="1"/>
  <c r="F39" i="14"/>
  <c r="G34" i="14"/>
  <c r="I34" i="14" s="1"/>
  <c r="N31" i="12" s="1"/>
  <c r="P31" i="12" s="1"/>
  <c r="F38" i="14"/>
  <c r="F66" i="22"/>
  <c r="F68" i="22" s="1"/>
  <c r="F69" i="22" s="1"/>
  <c r="G34" i="9"/>
  <c r="I34" i="9" s="1"/>
  <c r="D31" i="12" s="1"/>
  <c r="F31" i="12" s="1"/>
  <c r="F38" i="13"/>
  <c r="D8" i="16" s="1"/>
  <c r="G34" i="13"/>
  <c r="I34" i="13" s="1"/>
  <c r="I31" i="12" s="1"/>
  <c r="K31" i="12" s="1"/>
  <c r="T31" i="12"/>
  <c r="T35" i="12" s="1"/>
  <c r="S36" i="12" s="1"/>
  <c r="CF38" i="15"/>
  <c r="CF39" i="15" s="1"/>
  <c r="AL41" i="15"/>
  <c r="T47" i="15"/>
  <c r="CE39" i="15"/>
  <c r="AR41" i="15"/>
  <c r="H54" i="15"/>
  <c r="J54" i="15" s="1"/>
  <c r="CB41" i="15"/>
  <c r="J52" i="15"/>
  <c r="AX41" i="15"/>
  <c r="BJ34" i="24"/>
  <c r="AO29" i="10"/>
  <c r="AO30" i="10" s="1"/>
  <c r="AO31" i="10" s="1"/>
  <c r="AO32" i="10" s="1"/>
  <c r="AO33" i="10" s="1"/>
  <c r="J51" i="15"/>
  <c r="J53" i="15"/>
  <c r="R47" i="15"/>
  <c r="BV41" i="15"/>
  <c r="J47" i="15"/>
  <c r="CI39" i="15"/>
  <c r="F46" i="15"/>
  <c r="J46" i="15" s="1"/>
  <c r="R48" i="15"/>
  <c r="L54" i="15"/>
  <c r="L58" i="15" s="1"/>
  <c r="M58" i="15"/>
  <c r="K58" i="15"/>
  <c r="T48" i="15"/>
  <c r="CG39" i="15"/>
  <c r="N41" i="15"/>
  <c r="J55" i="15"/>
  <c r="H50" i="15"/>
  <c r="S47" i="15"/>
  <c r="F49" i="15"/>
  <c r="S48" i="15"/>
  <c r="L28" i="23"/>
  <c r="N11" i="16"/>
  <c r="D10" i="6"/>
  <c r="D21" i="16"/>
  <c r="F39" i="9"/>
  <c r="G31" i="9"/>
  <c r="I31" i="9" s="1"/>
  <c r="Q26" i="12"/>
  <c r="Q15" i="12"/>
  <c r="Q8" i="12"/>
  <c r="Q7" i="12"/>
  <c r="K28" i="10"/>
  <c r="Q17" i="12"/>
  <c r="Q4" i="12"/>
  <c r="Q19" i="12"/>
  <c r="Q18" i="12"/>
  <c r="Q5" i="12"/>
  <c r="E64" i="10"/>
  <c r="G25" i="12"/>
  <c r="G23" i="12"/>
  <c r="G22" i="12"/>
  <c r="G7" i="12"/>
  <c r="D70" i="10"/>
  <c r="G8" i="12"/>
  <c r="G5" i="12"/>
  <c r="G6" i="12"/>
  <c r="E10" i="6"/>
  <c r="G27" i="12"/>
  <c r="G20" i="12"/>
  <c r="G24" i="12"/>
  <c r="G21" i="12"/>
  <c r="G19" i="12"/>
  <c r="G18" i="12"/>
  <c r="G17" i="12"/>
  <c r="G26" i="12"/>
  <c r="G14" i="12"/>
  <c r="G12" i="12"/>
  <c r="G11" i="12"/>
  <c r="G9" i="12"/>
  <c r="J27" i="10"/>
  <c r="AK27" i="10" s="1"/>
  <c r="AL27" i="10" s="1"/>
  <c r="AL28" i="10" s="1"/>
  <c r="AL29" i="10" s="1"/>
  <c r="G34" i="10"/>
  <c r="Y34" i="10" s="1"/>
  <c r="F34" i="10"/>
  <c r="Q24" i="12"/>
  <c r="Q16" i="12"/>
  <c r="Q14" i="12"/>
  <c r="Q25" i="12"/>
  <c r="Q23" i="12"/>
  <c r="Q13" i="12"/>
  <c r="F63" i="10"/>
  <c r="F70" i="10" s="1"/>
  <c r="Q22" i="12"/>
  <c r="E11" i="6"/>
  <c r="E63" i="10"/>
  <c r="E70" i="10" s="1"/>
  <c r="Q21" i="12"/>
  <c r="Q11" i="12"/>
  <c r="Q9" i="12"/>
  <c r="Q20" i="12"/>
  <c r="Q12" i="12"/>
  <c r="J31" i="14"/>
  <c r="Q6" i="12"/>
  <c r="Q27" i="12"/>
  <c r="I28" i="12"/>
  <c r="K28" i="12" s="1"/>
  <c r="J32" i="13"/>
  <c r="J28" i="12"/>
  <c r="L28" i="12" s="1"/>
  <c r="K31" i="13"/>
  <c r="L24" i="12"/>
  <c r="L23" i="12"/>
  <c r="L19" i="12"/>
  <c r="L18" i="12"/>
  <c r="L13" i="12"/>
  <c r="L9" i="12"/>
  <c r="E9" i="6"/>
  <c r="L17" i="12"/>
  <c r="L12" i="12"/>
  <c r="L8" i="12"/>
  <c r="L27" i="12"/>
  <c r="L4" i="12"/>
  <c r="L26" i="12"/>
  <c r="L22" i="12"/>
  <c r="L16" i="12"/>
  <c r="L11" i="12"/>
  <c r="L7" i="12"/>
  <c r="D7" i="16"/>
  <c r="L21" i="12"/>
  <c r="L15" i="12"/>
  <c r="L10" i="12"/>
  <c r="L25" i="12"/>
  <c r="L20" i="12"/>
  <c r="CH32" i="15"/>
  <c r="H34" i="10"/>
  <c r="P35" i="10" s="1"/>
  <c r="H31" i="23" l="1"/>
  <c r="AH34" i="10"/>
  <c r="AK30" i="10"/>
  <c r="AL30" i="10" s="1"/>
  <c r="AL31" i="10" s="1"/>
  <c r="AL32" i="10" s="1"/>
  <c r="AL33" i="10" s="1"/>
  <c r="K30" i="10"/>
  <c r="M34" i="10"/>
  <c r="L35" i="10" s="1"/>
  <c r="D9" i="16" s="1"/>
  <c r="E35" i="10"/>
  <c r="D35" i="10"/>
  <c r="U34" i="10"/>
  <c r="T35" i="10" s="1"/>
  <c r="D10" i="16" s="1"/>
  <c r="D18" i="16" s="1"/>
  <c r="AI34" i="10"/>
  <c r="AH35" i="10" s="1"/>
  <c r="D23" i="16"/>
  <c r="D11" i="6"/>
  <c r="G11" i="6" s="1"/>
  <c r="G12" i="6" s="1"/>
  <c r="H10" i="6"/>
  <c r="F10" i="6" s="1"/>
  <c r="F16" i="6" s="1"/>
  <c r="D22" i="16"/>
  <c r="D9" i="6"/>
  <c r="D12" i="6" s="1"/>
  <c r="J50" i="15"/>
  <c r="H58" i="15"/>
  <c r="J49" i="15"/>
  <c r="F58" i="15"/>
  <c r="D28" i="12"/>
  <c r="F28" i="12" s="1"/>
  <c r="J31" i="9"/>
  <c r="D16" i="16"/>
  <c r="K6" i="6"/>
  <c r="S34" i="10"/>
  <c r="AC34" i="10"/>
  <c r="AB35" i="10" s="1"/>
  <c r="O34" i="10"/>
  <c r="N35" i="10" s="1"/>
  <c r="W34" i="10"/>
  <c r="AA34" i="10"/>
  <c r="Z35" i="10" s="1"/>
  <c r="AG34" i="10"/>
  <c r="AF35" i="10" s="1"/>
  <c r="K31" i="14"/>
  <c r="O28" i="12"/>
  <c r="Q28" i="12" s="1"/>
  <c r="J32" i="14"/>
  <c r="H11" i="6"/>
  <c r="F11" i="6" s="1"/>
  <c r="F35" i="10"/>
  <c r="K27" i="10"/>
  <c r="J34" i="10"/>
  <c r="K34" i="10" s="1"/>
  <c r="J35" i="10" s="1"/>
  <c r="H9" i="6"/>
  <c r="F9" i="6" s="1"/>
  <c r="E12" i="6"/>
  <c r="D25" i="16"/>
  <c r="D27" i="16"/>
  <c r="D26" i="16"/>
  <c r="J33" i="13"/>
  <c r="K32" i="13"/>
  <c r="J29" i="12"/>
  <c r="L29" i="12" s="1"/>
  <c r="X35" i="10"/>
  <c r="AD35" i="10"/>
  <c r="K31" i="23" l="1"/>
  <c r="I31" i="23"/>
  <c r="L31" i="23" s="1"/>
  <c r="J58" i="15"/>
  <c r="K31" i="9"/>
  <c r="J32" i="9"/>
  <c r="E28" i="12"/>
  <c r="G28" i="12" s="1"/>
  <c r="H12" i="6"/>
  <c r="F12" i="6"/>
  <c r="K32" i="14"/>
  <c r="J33" i="14"/>
  <c r="O29" i="12"/>
  <c r="Q29" i="12" s="1"/>
  <c r="K33" i="13"/>
  <c r="J30" i="12"/>
  <c r="L30" i="12" s="1"/>
  <c r="J34" i="13"/>
  <c r="P36" i="10"/>
  <c r="D17" i="16"/>
  <c r="D11" i="16"/>
  <c r="D19" i="16" s="1"/>
  <c r="K32" i="9" l="1"/>
  <c r="J33" i="9"/>
  <c r="E29" i="12"/>
  <c r="G29" i="12" s="1"/>
  <c r="J34" i="14"/>
  <c r="O30" i="12"/>
  <c r="Q30" i="12" s="1"/>
  <c r="K33" i="14"/>
  <c r="J31" i="12"/>
  <c r="L31" i="12" s="1"/>
  <c r="J35" i="13"/>
  <c r="K34" i="13"/>
  <c r="J34" i="9" l="1"/>
  <c r="K33" i="9"/>
  <c r="E30" i="12"/>
  <c r="G30" i="12" s="1"/>
  <c r="K34" i="14"/>
  <c r="O31" i="12"/>
  <c r="Q31" i="12" s="1"/>
  <c r="J35" i="14"/>
  <c r="J32" i="12"/>
  <c r="L32" i="12" s="1"/>
  <c r="K35" i="13"/>
  <c r="J36" i="13"/>
  <c r="K34" i="9" l="1"/>
  <c r="J35" i="9"/>
  <c r="E31" i="12"/>
  <c r="G31" i="12" s="1"/>
  <c r="J36" i="14"/>
  <c r="K35" i="14"/>
  <c r="O32" i="12"/>
  <c r="Q32" i="12" s="1"/>
  <c r="J33" i="12"/>
  <c r="L33" i="12" s="1"/>
  <c r="J37" i="13"/>
  <c r="K36" i="13"/>
  <c r="K35" i="9" l="1"/>
  <c r="E32" i="12"/>
  <c r="G32" i="12" s="1"/>
  <c r="J36" i="9"/>
  <c r="O33" i="12"/>
  <c r="Q33" i="12" s="1"/>
  <c r="K36" i="14"/>
  <c r="J37" i="14"/>
  <c r="K37" i="13"/>
  <c r="J34" i="12"/>
  <c r="L34" i="12" s="1"/>
  <c r="J37" i="9" l="1"/>
  <c r="E33" i="12"/>
  <c r="G33" i="12" s="1"/>
  <c r="K36" i="9"/>
  <c r="K37" i="14"/>
  <c r="O34" i="12"/>
  <c r="Q34" i="12" s="1"/>
  <c r="K37" i="9" l="1"/>
  <c r="E34" i="12"/>
  <c r="G34" i="12" s="1"/>
</calcChain>
</file>

<file path=xl/sharedStrings.xml><?xml version="1.0" encoding="utf-8"?>
<sst xmlns="http://schemas.openxmlformats.org/spreadsheetml/2006/main" count="486" uniqueCount="226">
  <si>
    <t>TERPEL</t>
  </si>
  <si>
    <t>Día</t>
  </si>
  <si>
    <t>Inv Inicial</t>
  </si>
  <si>
    <t>Ventas</t>
  </si>
  <si>
    <t>Recibos</t>
  </si>
  <si>
    <t>Inv Final</t>
  </si>
  <si>
    <t>Efectivo</t>
  </si>
  <si>
    <t>Mi Emp</t>
  </si>
  <si>
    <t>Go Pass</t>
  </si>
  <si>
    <t>M</t>
  </si>
  <si>
    <t>J</t>
  </si>
  <si>
    <t>V</t>
  </si>
  <si>
    <t>S</t>
  </si>
  <si>
    <t>D</t>
  </si>
  <si>
    <t>L</t>
  </si>
  <si>
    <t>EDS LA PORTADA</t>
  </si>
  <si>
    <t>ACPM</t>
  </si>
  <si>
    <t>TOTAL</t>
  </si>
  <si>
    <t>Galones</t>
  </si>
  <si>
    <t>Ventas y Fidelización</t>
  </si>
  <si>
    <t>VTAS</t>
  </si>
  <si>
    <t>Clientes</t>
  </si>
  <si>
    <t>EDS JAP S.A.S.</t>
  </si>
  <si>
    <t>INFORME SICOM</t>
  </si>
  <si>
    <t>INVENTARIO INICIAL</t>
  </si>
  <si>
    <t>COMPRAS</t>
  </si>
  <si>
    <t>VENTAS</t>
  </si>
  <si>
    <t>FALTANTES</t>
  </si>
  <si>
    <t>FLUCTUACION</t>
  </si>
  <si>
    <t>INVENTARIO FINAL</t>
  </si>
  <si>
    <t>CORRIENTE</t>
  </si>
  <si>
    <t>EXTRA</t>
  </si>
  <si>
    <t>EDS LA FLORIDA</t>
  </si>
  <si>
    <t>TURNO 1</t>
  </si>
  <si>
    <t>TURNO 2</t>
  </si>
  <si>
    <t>TURNO 3</t>
  </si>
  <si>
    <t>Prom Total</t>
  </si>
  <si>
    <t># CLIENTES</t>
  </si>
  <si>
    <t>VTAS X PROM</t>
  </si>
  <si>
    <t>Producto</t>
  </si>
  <si>
    <t>G. Corriente</t>
  </si>
  <si>
    <t>Precio</t>
  </si>
  <si>
    <t>Fecha</t>
  </si>
  <si>
    <t>Inv Teorico</t>
  </si>
  <si>
    <t>Fluc Dia</t>
  </si>
  <si>
    <t>Fluc Acum</t>
  </si>
  <si>
    <t>Venta Total ($)</t>
  </si>
  <si>
    <t>Rumbo</t>
  </si>
  <si>
    <t>Cons Terpel</t>
  </si>
  <si>
    <t>Clien Propios</t>
  </si>
  <si>
    <t>Vive Terpel</t>
  </si>
  <si>
    <t>Diferencia</t>
  </si>
  <si>
    <t>Vta Corriente</t>
  </si>
  <si>
    <t>Vta Bioacem</t>
  </si>
  <si>
    <t>Vta Extra</t>
  </si>
  <si>
    <t>Vta Total</t>
  </si>
  <si>
    <t>% Dia</t>
  </si>
  <si>
    <t>% Acum</t>
  </si>
  <si>
    <t>Color</t>
  </si>
  <si>
    <t>Cte</t>
  </si>
  <si>
    <t>Extra</t>
  </si>
  <si>
    <t>Placa</t>
  </si>
  <si>
    <t>Concepto</t>
  </si>
  <si>
    <t>Bioacem</t>
  </si>
  <si>
    <t>Planta</t>
  </si>
  <si>
    <t>Diferencia Acum</t>
  </si>
  <si>
    <t>G. Extra</t>
  </si>
  <si>
    <t>Efectivo Real</t>
  </si>
  <si>
    <t>Certificacion</t>
  </si>
  <si>
    <t>Vta Gl</t>
  </si>
  <si>
    <t># Clientes</t>
  </si>
  <si>
    <t>% MIX DIARIO</t>
  </si>
  <si>
    <t>TIQUETE PROMEDIO</t>
  </si>
  <si>
    <t>Fluctuacion ($)</t>
  </si>
  <si>
    <t>Venta Fluct ($)</t>
  </si>
  <si>
    <t>CLIENTES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</si>
  <si>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</si>
  <si>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</si>
  <si>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</si>
  <si>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</si>
  <si>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</si>
  <si>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</si>
  <si>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</si>
  <si>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</si>
  <si>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</si>
  <si>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</si>
  <si>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</si>
  <si>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</si>
  <si>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</t>
  </si>
  <si>
    <t>Cumplimiento</t>
  </si>
  <si>
    <t>Dia</t>
  </si>
  <si>
    <t>Acumulado</t>
  </si>
  <si>
    <t>DESCARGUE</t>
  </si>
  <si>
    <t>INVENTARIO</t>
  </si>
  <si>
    <t>PROM. DIA</t>
  </si>
  <si>
    <t>Vta Acpm</t>
  </si>
  <si>
    <t>% Rumbo</t>
  </si>
  <si>
    <t>% Clientes Paso</t>
  </si>
  <si>
    <t>Clientes Propios</t>
  </si>
  <si>
    <t>Clientes Paso</t>
  </si>
  <si>
    <t>BIOACEM</t>
  </si>
  <si>
    <t>FACTURA</t>
  </si>
  <si>
    <t>CANTIDAD COMBUSTIBLE</t>
  </si>
  <si>
    <t>FECHA</t>
  </si>
  <si>
    <t>SUMA</t>
  </si>
  <si>
    <t>TOTAL CON ANULACIONES</t>
  </si>
  <si>
    <t>ANULACIONES</t>
  </si>
  <si>
    <t>CTE</t>
  </si>
  <si>
    <t>II</t>
  </si>
  <si>
    <t>IF</t>
  </si>
  <si>
    <t>DIF.</t>
  </si>
  <si>
    <t>VALOR</t>
  </si>
  <si>
    <t>RECIBO</t>
  </si>
  <si>
    <t>CRC</t>
  </si>
  <si>
    <t>BAM</t>
  </si>
  <si>
    <t>INSMEVET</t>
  </si>
  <si>
    <t>INTEXCO</t>
  </si>
  <si>
    <t>AVSA</t>
  </si>
  <si>
    <t>DACT CHEMICAL</t>
  </si>
  <si>
    <t>MAURICIO C</t>
  </si>
  <si>
    <t>EASY CEM</t>
  </si>
  <si>
    <t>COLEG NUEVA INGLATERRA</t>
  </si>
  <si>
    <t>LAB BRANDS</t>
  </si>
  <si>
    <t>AQUA</t>
  </si>
  <si>
    <t>VARIOS</t>
  </si>
  <si>
    <t>VERPACKEN</t>
  </si>
  <si>
    <t>UT NUTRIENDO</t>
  </si>
  <si>
    <t>SANTILLANA</t>
  </si>
  <si>
    <t>QR</t>
  </si>
  <si>
    <t>DISPAPELES</t>
  </si>
  <si>
    <t>LA COLINA BRANDS</t>
  </si>
  <si>
    <t>RUMBO</t>
  </si>
  <si>
    <t>VALOR RUMBO</t>
  </si>
  <si>
    <t>Urea</t>
  </si>
  <si>
    <t>DASA HIGH</t>
  </si>
  <si>
    <t>PETMAX</t>
  </si>
  <si>
    <t>IMPRESISTEM</t>
  </si>
  <si>
    <t>JANETH TELLEZ</t>
  </si>
  <si>
    <t>PROVEFABRICA</t>
  </si>
  <si>
    <t>PARAISO</t>
  </si>
  <si>
    <t>FM INGENIERIA</t>
  </si>
  <si>
    <t>Urea Rumbo</t>
  </si>
  <si>
    <t>C PROP</t>
  </si>
  <si>
    <t>% CTE</t>
  </si>
  <si>
    <t>% BIOACEM</t>
  </si>
  <si>
    <t>% EXTRA</t>
  </si>
  <si>
    <t>%VENTAS CTE</t>
  </si>
  <si>
    <t>%VENTAS BIOACEM</t>
  </si>
  <si>
    <t>%VENTAS EXTRA</t>
  </si>
  <si>
    <t>Presupuesto ACPM</t>
  </si>
  <si>
    <t>Presupuesto CTE</t>
  </si>
  <si>
    <t>Presupuesto EXTRA</t>
  </si>
  <si>
    <t>PRESUPUESTO POR PRODUCTO</t>
  </si>
  <si>
    <t>MIX PRODUCTOS</t>
  </si>
  <si>
    <t>WILLIAM JIMENEZ</t>
  </si>
  <si>
    <t>% Clientes Propios</t>
  </si>
  <si>
    <t>EDS JAP</t>
  </si>
  <si>
    <t>LIZETH ORJUELA</t>
  </si>
  <si>
    <t>Presupuesto 25</t>
  </si>
  <si>
    <t>CRC UREA</t>
  </si>
  <si>
    <t>COLEG NUEVA INGLATERRA UREA</t>
  </si>
  <si>
    <t>BAM UREA</t>
  </si>
  <si>
    <t>VALOR PROPIOS</t>
  </si>
  <si>
    <t>PROVEFABRICA UREA</t>
  </si>
  <si>
    <t>negativo ganancia</t>
  </si>
  <si>
    <t>positivo perdida</t>
  </si>
  <si>
    <t>SEBASTIAN RAMIREZ</t>
  </si>
  <si>
    <t>TOTAL COMBUSTIBLE</t>
  </si>
  <si>
    <t>TOTAL UREA</t>
  </si>
  <si>
    <t>PARQUE ROSALINDA</t>
  </si>
  <si>
    <t>COSTO</t>
  </si>
  <si>
    <t>FIGUCENTER UREA</t>
  </si>
  <si>
    <t>FIGUCENTRO</t>
  </si>
  <si>
    <t>INTERPHARMA</t>
  </si>
  <si>
    <t>YEISON FLOREZ</t>
  </si>
  <si>
    <t>MARIBEL GAMEZ</t>
  </si>
  <si>
    <t>T1</t>
  </si>
  <si>
    <t>T2</t>
  </si>
  <si>
    <t>T3</t>
  </si>
  <si>
    <t>T4</t>
  </si>
  <si>
    <t>No VEH</t>
  </si>
  <si>
    <t>ISLA</t>
  </si>
  <si>
    <t>OFFICE SUPPLY</t>
  </si>
  <si>
    <t>SERVICIO PREMIERE</t>
  </si>
  <si>
    <t>Ajustes</t>
  </si>
  <si>
    <t>SANDRA YEPEZ</t>
  </si>
  <si>
    <t>ANGELA HERREÑO</t>
  </si>
  <si>
    <t>CAPITAL USPEC</t>
  </si>
  <si>
    <t>CAPITAL USPEC UREA</t>
  </si>
  <si>
    <t>DICOLTEXCO</t>
  </si>
  <si>
    <t>JOSE LUIS</t>
  </si>
  <si>
    <t>OCMIA</t>
  </si>
  <si>
    <t>SILVINO</t>
  </si>
  <si>
    <t>ANDREA ZARATE</t>
  </si>
  <si>
    <t>YADIRA CRUZ</t>
  </si>
  <si>
    <t>GESTOAGRO</t>
  </si>
  <si>
    <t>TRANSP LA RUTA</t>
  </si>
  <si>
    <t>TRANSP LA RUTA UREA</t>
  </si>
  <si>
    <t>JHONATAN PADILLA</t>
  </si>
  <si>
    <t>ETRICOL</t>
  </si>
  <si>
    <t>POMAR</t>
  </si>
  <si>
    <t>LEXMANA UREA</t>
  </si>
  <si>
    <t>LEXMANA</t>
  </si>
  <si>
    <t>GRAFICAS JAIBER</t>
  </si>
  <si>
    <t>App Terpel</t>
  </si>
  <si>
    <t>GRAFICAS JAIBER LUB</t>
  </si>
  <si>
    <t>TOTAL LUB</t>
  </si>
  <si>
    <t>INSMEVET UREA</t>
  </si>
  <si>
    <t>JOSE DUARTE</t>
  </si>
  <si>
    <t>QR UREA</t>
  </si>
  <si>
    <t>Datafono</t>
  </si>
  <si>
    <t>UNION SERVIR</t>
  </si>
  <si>
    <t>SAMUEL MORENO/SANTIAGO LEON</t>
  </si>
  <si>
    <t>UNION SERVIR UREA</t>
  </si>
  <si>
    <t>LEONARDO SERPA</t>
  </si>
  <si>
    <t>MARIA CAROLINA MEJIA</t>
  </si>
  <si>
    <t>2 Y 3</t>
  </si>
  <si>
    <t>ANGIE RUIZ/CAMILO SANCHEZ</t>
  </si>
  <si>
    <t>FALTANTE UREA</t>
  </si>
  <si>
    <t>DIF UREA RUMBO</t>
  </si>
  <si>
    <t>TURNO 4</t>
  </si>
  <si>
    <t>Prom T1 T2</t>
  </si>
  <si>
    <t>Prom T3</t>
  </si>
  <si>
    <t>Prom T4</t>
  </si>
  <si>
    <t>VALENTINA COSSIO /DANIEL ARGEL</t>
  </si>
  <si>
    <t>EVAPORACION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</si>
</sst>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2" formatCode="_-&quot;$&quot;* #,##0_-;\-&quot;$&quot;* #,##0_-;_-&quot;$&quot;* &quot;-&quot;_-;_-@_-"/>
    <numFmt numFmtId="41" formatCode="_-* #,##0_-;\-* #,##0_-;_-* &quot;-&quot;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(* #,##0.00_);_(* \(#,##0.00\);_(* &quot;-&quot;??_);_(@_)"/>
    <numFmt numFmtId="166" formatCode="_-* #,##0.0\ _€_-;\-* #,##0.0\ _€_-;_-* &quot;-&quot;??\ _€_-;_-@"/>
    <numFmt numFmtId="167" formatCode="0.0"/>
    <numFmt numFmtId="168" formatCode="_(* #,##0.0_);_(* \(#,##0.0\);_(* &quot;-&quot;??_);_(@_)"/>
    <numFmt numFmtId="169" formatCode="_-* #,##0.0_-;\-* #,##0.0_-;_-* &quot;-&quot;_-;_-@"/>
    <numFmt numFmtId="170" formatCode="d/m/yyyy"/>
    <numFmt numFmtId="171" formatCode="0.0%"/>
    <numFmt numFmtId="172" formatCode="_-* #,##0_-;\-* #,##0_-;_-* &quot;-&quot;_-;_-@"/>
    <numFmt numFmtId="173" formatCode="_-* #,##0.0_-;\-* #,##0.0_-;_-* &quot;-&quot;?_-;_-@"/>
    <numFmt numFmtId="174" formatCode="_-* #,##0.0\ _€_-;\-* #,##0.0\ _€_-;_-* &quot;-&quot;?\ _€_-;_-@"/>
    <numFmt numFmtId="175" formatCode="_-* #,##0.00\ _€_-;\-* #,##0.00\ _€_-;_-* &quot;-&quot;??\ _€_-;_-@"/>
    <numFmt numFmtId="176" formatCode="_-* #,##0.00_-;\-* #,##0.00_-;_-* &quot;-&quot;??_-;_-@"/>
    <numFmt numFmtId="177" formatCode="_-* #,##0.0\ _€_-;\-* #,##0.0\ _€_-;_-* &quot;-&quot;?\ _€_-;_-@_-"/>
    <numFmt numFmtId="178" formatCode="_-* #,##0_-;\-* #,##0_-;_-* &quot;-&quot;??_-;_-@_-"/>
    <numFmt numFmtId="179" formatCode="_-* #,##0.0000\ _€_-;\-* #,##0.0000\ _€_-;_-* &quot;-&quot;?\ _€_-;_-@_-"/>
    <numFmt numFmtId="180" formatCode="_-[$$-240A]\ * #,##0.0_-;\-[$$-240A]\ * #,##0.0_-;_-[$$-240A]\ * &quot;-&quot;??_-;_-@_-"/>
    <numFmt numFmtId="181" formatCode="_-[$$-240A]\ * #,##0_-;\-[$$-240A]\ * #,##0_-;_-[$$-240A]\ * &quot;-&quot;??_-;_-@_-"/>
    <numFmt numFmtId="182" formatCode="_-[$$-240A]\ * #,##0.0_-;\-[$$-240A]\ * #,##0.0_-;_-[$$-240A]\ * &quot;-&quot;?_-;_-@_-"/>
    <numFmt numFmtId="183" formatCode="_-* #,##0.0_-;\-* #,##0.0_-;_-* &quot;-&quot;??_-;_-@_-"/>
    <numFmt numFmtId="184" formatCode="_-[$$-240A]\ * #,##0_-;\-[$$-240A]\ * #,##0_-;_-[$$-240A]\ * &quot;-&quot;?_-;_-@_-"/>
    <numFmt numFmtId="186" formatCode="_-* #,##0\ &quot;€&quot;_-;\-* #,##0\ &quot;€&quot;_-;_-* &quot;-&quot;??\ &quot;€&quot;_-;_-@_-"/>
    <numFmt numFmtId="187" formatCode="0.000"/>
    <numFmt numFmtId="188" formatCode="_-* #,##0.00\ _€_-;\-* #,##0.00\ _€_-;_-* &quot;-&quot;??\ _€_-;_-@_-"/>
  </numFmts>
  <fonts count="1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AC57"/>
      <name val="Tahoma"/>
      <family val="2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</fills>
  <borders count="10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" fillId="0" borderId="6"/>
    <xf numFmtId="41" fontId="1" fillId="0" borderId="6" applyFont="0" applyFill="0" applyBorder="0" applyAlignment="0" applyProtection="0"/>
    <xf numFmtId="43" fontId="1" fillId="0" borderId="6" applyFont="0" applyFill="0" applyBorder="0" applyAlignment="0" applyProtection="0"/>
    <xf numFmtId="42" fontId="15" fillId="0" borderId="0" applyFont="0" applyFill="0" applyBorder="0" applyAlignment="0" applyProtection="0"/>
  </cellStyleXfs>
  <cellXfs count="61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167" fontId="2" fillId="0" borderId="0" xfId="0" applyNumberFormat="1" applyFont="1"/>
    <xf numFmtId="9" fontId="2" fillId="0" borderId="0" xfId="0" applyNumberFormat="1" applyFont="1"/>
    <xf numFmtId="1" fontId="2" fillId="0" borderId="0" xfId="0" applyNumberFormat="1" applyFont="1"/>
    <xf numFmtId="166" fontId="2" fillId="0" borderId="5" xfId="0" applyNumberFormat="1" applyFont="1" applyBorder="1"/>
    <xf numFmtId="2" fontId="2" fillId="0" borderId="0" xfId="0" applyNumberFormat="1" applyFont="1"/>
    <xf numFmtId="174" fontId="2" fillId="0" borderId="0" xfId="0" applyNumberFormat="1" applyFont="1"/>
    <xf numFmtId="0" fontId="2" fillId="0" borderId="0" xfId="0" applyFont="1" applyAlignment="1">
      <alignment horizontal="center" vertical="center"/>
    </xf>
    <xf numFmtId="165" fontId="2" fillId="0" borderId="0" xfId="0" applyNumberFormat="1" applyFont="1"/>
    <xf numFmtId="176" fontId="2" fillId="0" borderId="0" xfId="0" applyNumberFormat="1" applyFont="1"/>
    <xf numFmtId="9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75" fontId="2" fillId="0" borderId="4" xfId="0" applyNumberFormat="1" applyFont="1" applyBorder="1"/>
    <xf numFmtId="0" fontId="2" fillId="0" borderId="6" xfId="0" applyFont="1" applyBorder="1"/>
    <xf numFmtId="166" fontId="2" fillId="0" borderId="11" xfId="0" applyNumberFormat="1" applyFont="1" applyBorder="1"/>
    <xf numFmtId="0" fontId="2" fillId="0" borderId="15" xfId="0" applyFont="1" applyBorder="1"/>
    <xf numFmtId="0" fontId="2" fillId="0" borderId="17" xfId="0" applyFont="1" applyBorder="1"/>
    <xf numFmtId="166" fontId="2" fillId="0" borderId="18" xfId="0" applyNumberFormat="1" applyFont="1" applyBorder="1"/>
    <xf numFmtId="166" fontId="2" fillId="0" borderId="21" xfId="0" applyNumberFormat="1" applyFont="1" applyBorder="1"/>
    <xf numFmtId="166" fontId="2" fillId="0" borderId="22" xfId="0" applyNumberFormat="1" applyFont="1" applyBorder="1"/>
    <xf numFmtId="0" fontId="2" fillId="0" borderId="12" xfId="0" applyFont="1" applyBorder="1"/>
    <xf numFmtId="0" fontId="2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6" xfId="0" applyBorder="1"/>
    <xf numFmtId="172" fontId="2" fillId="0" borderId="0" xfId="0" applyNumberFormat="1" applyFont="1" applyAlignment="1">
      <alignment horizontal="center" vertical="center"/>
    </xf>
    <xf numFmtId="166" fontId="2" fillId="2" borderId="11" xfId="0" applyNumberFormat="1" applyFont="1" applyFill="1" applyBorder="1"/>
    <xf numFmtId="166" fontId="2" fillId="2" borderId="13" xfId="0" applyNumberFormat="1" applyFont="1" applyFill="1" applyBorder="1"/>
    <xf numFmtId="166" fontId="2" fillId="2" borderId="14" xfId="0" applyNumberFormat="1" applyFont="1" applyFill="1" applyBorder="1"/>
    <xf numFmtId="166" fontId="2" fillId="2" borderId="15" xfId="0" applyNumberFormat="1" applyFont="1" applyFill="1" applyBorder="1"/>
    <xf numFmtId="166" fontId="2" fillId="2" borderId="16" xfId="0" applyNumberFormat="1" applyFont="1" applyFill="1" applyBorder="1"/>
    <xf numFmtId="166" fontId="2" fillId="2" borderId="17" xfId="0" applyNumberFormat="1" applyFont="1" applyFill="1" applyBorder="1"/>
    <xf numFmtId="166" fontId="2" fillId="2" borderId="18" xfId="0" applyNumberFormat="1" applyFont="1" applyFill="1" applyBorder="1"/>
    <xf numFmtId="166" fontId="2" fillId="2" borderId="19" xfId="0" applyNumberFormat="1" applyFont="1" applyFill="1" applyBorder="1"/>
    <xf numFmtId="166" fontId="2" fillId="2" borderId="6" xfId="0" applyNumberFormat="1" applyFont="1" applyFill="1" applyBorder="1"/>
    <xf numFmtId="166" fontId="2" fillId="0" borderId="6" xfId="0" applyNumberFormat="1" applyFont="1" applyBorder="1"/>
    <xf numFmtId="166" fontId="2" fillId="2" borderId="6" xfId="0" applyNumberFormat="1" applyFont="1" applyFill="1" applyBorder="1" applyAlignment="1">
      <alignment horizontal="center"/>
    </xf>
    <xf numFmtId="169" fontId="2" fillId="0" borderId="6" xfId="0" applyNumberFormat="1" applyFont="1" applyBorder="1"/>
    <xf numFmtId="166" fontId="2" fillId="2" borderId="32" xfId="0" applyNumberFormat="1" applyFont="1" applyFill="1" applyBorder="1"/>
    <xf numFmtId="166" fontId="2" fillId="0" borderId="43" xfId="0" applyNumberFormat="1" applyFont="1" applyBorder="1"/>
    <xf numFmtId="167" fontId="2" fillId="2" borderId="6" xfId="0" applyNumberFormat="1" applyFont="1" applyFill="1" applyBorder="1" applyAlignment="1">
      <alignment horizontal="center"/>
    </xf>
    <xf numFmtId="167" fontId="2" fillId="0" borderId="6" xfId="0" applyNumberFormat="1" applyFont="1" applyBorder="1"/>
    <xf numFmtId="166" fontId="2" fillId="2" borderId="20" xfId="0" applyNumberFormat="1" applyFont="1" applyFill="1" applyBorder="1"/>
    <xf numFmtId="166" fontId="2" fillId="2" borderId="21" xfId="0" applyNumberFormat="1" applyFont="1" applyFill="1" applyBorder="1"/>
    <xf numFmtId="0" fontId="5" fillId="0" borderId="26" xfId="0" applyFont="1" applyBorder="1" applyAlignment="1">
      <alignment horizontal="center"/>
    </xf>
    <xf numFmtId="167" fontId="2" fillId="0" borderId="25" xfId="0" applyNumberFormat="1" applyFont="1" applyBorder="1" applyAlignment="1">
      <alignment horizontal="center"/>
    </xf>
    <xf numFmtId="167" fontId="2" fillId="0" borderId="30" xfId="0" applyNumberFormat="1" applyFont="1" applyBorder="1" applyAlignment="1">
      <alignment horizontal="center"/>
    </xf>
    <xf numFmtId="173" fontId="2" fillId="0" borderId="11" xfId="0" applyNumberFormat="1" applyFont="1" applyBorder="1"/>
    <xf numFmtId="0" fontId="3" fillId="0" borderId="6" xfId="0" applyFont="1" applyBorder="1"/>
    <xf numFmtId="167" fontId="0" fillId="0" borderId="16" xfId="0" applyNumberFormat="1" applyBorder="1"/>
    <xf numFmtId="17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/>
    </xf>
    <xf numFmtId="167" fontId="2" fillId="0" borderId="25" xfId="0" applyNumberFormat="1" applyFont="1" applyBorder="1"/>
    <xf numFmtId="0" fontId="5" fillId="0" borderId="23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177" fontId="0" fillId="0" borderId="0" xfId="0" applyNumberFormat="1"/>
    <xf numFmtId="179" fontId="0" fillId="0" borderId="0" xfId="0" applyNumberFormat="1"/>
    <xf numFmtId="0" fontId="2" fillId="0" borderId="53" xfId="0" applyFont="1" applyBorder="1"/>
    <xf numFmtId="0" fontId="2" fillId="0" borderId="55" xfId="0" applyFont="1" applyBorder="1"/>
    <xf numFmtId="0" fontId="2" fillId="0" borderId="57" xfId="0" applyFont="1" applyBorder="1"/>
    <xf numFmtId="0" fontId="5" fillId="3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175" fontId="5" fillId="3" borderId="7" xfId="0" applyNumberFormat="1" applyFont="1" applyFill="1" applyBorder="1"/>
    <xf numFmtId="175" fontId="2" fillId="0" borderId="53" xfId="0" applyNumberFormat="1" applyFont="1" applyBorder="1"/>
    <xf numFmtId="175" fontId="2" fillId="0" borderId="58" xfId="0" applyNumberFormat="1" applyFont="1" applyBorder="1"/>
    <xf numFmtId="175" fontId="2" fillId="0" borderId="54" xfId="0" applyNumberFormat="1" applyFont="1" applyBorder="1"/>
    <xf numFmtId="175" fontId="2" fillId="0" borderId="55" xfId="0" applyNumberFormat="1" applyFont="1" applyBorder="1"/>
    <xf numFmtId="175" fontId="2" fillId="0" borderId="56" xfId="0" applyNumberFormat="1" applyFont="1" applyBorder="1"/>
    <xf numFmtId="175" fontId="2" fillId="0" borderId="57" xfId="0" applyNumberFormat="1" applyFont="1" applyBorder="1"/>
    <xf numFmtId="175" fontId="2" fillId="0" borderId="59" xfId="0" applyNumberFormat="1" applyFont="1" applyBorder="1"/>
    <xf numFmtId="0" fontId="2" fillId="0" borderId="24" xfId="0" applyFont="1" applyBorder="1" applyAlignment="1">
      <alignment horizontal="center" vertical="center"/>
    </xf>
    <xf numFmtId="0" fontId="0" fillId="0" borderId="11" xfId="0" applyBorder="1"/>
    <xf numFmtId="181" fontId="0" fillId="0" borderId="0" xfId="0" applyNumberFormat="1"/>
    <xf numFmtId="0" fontId="0" fillId="0" borderId="11" xfId="0" applyBorder="1" applyAlignment="1">
      <alignment horizontal="center"/>
    </xf>
    <xf numFmtId="9" fontId="0" fillId="0" borderId="0" xfId="1" applyFont="1" applyAlignment="1"/>
    <xf numFmtId="167" fontId="2" fillId="0" borderId="23" xfId="0" applyNumberFormat="1" applyFont="1" applyBorder="1" applyAlignment="1">
      <alignment horizontal="center"/>
    </xf>
    <xf numFmtId="167" fontId="2" fillId="0" borderId="24" xfId="0" applyNumberFormat="1" applyFont="1" applyBorder="1" applyAlignment="1">
      <alignment horizontal="center"/>
    </xf>
    <xf numFmtId="170" fontId="2" fillId="0" borderId="0" xfId="0" applyNumberFormat="1" applyFont="1" applyAlignment="1">
      <alignment horizontal="center"/>
    </xf>
    <xf numFmtId="14" fontId="0" fillId="0" borderId="11" xfId="0" applyNumberFormat="1" applyBorder="1"/>
    <xf numFmtId="178" fontId="0" fillId="0" borderId="11" xfId="2" applyNumberFormat="1" applyFont="1" applyBorder="1" applyAlignment="1">
      <alignment horizontal="center"/>
    </xf>
    <xf numFmtId="178" fontId="0" fillId="7" borderId="11" xfId="2" applyNumberFormat="1" applyFont="1" applyFill="1" applyBorder="1" applyAlignment="1">
      <alignment horizontal="center"/>
    </xf>
    <xf numFmtId="181" fontId="0" fillId="0" borderId="15" xfId="0" applyNumberFormat="1" applyBorder="1" applyAlignment="1">
      <alignment horizontal="center"/>
    </xf>
    <xf numFmtId="178" fontId="0" fillId="0" borderId="15" xfId="2" applyNumberFormat="1" applyFont="1" applyBorder="1" applyAlignment="1">
      <alignment horizontal="center"/>
    </xf>
    <xf numFmtId="178" fontId="0" fillId="0" borderId="16" xfId="2" applyNumberFormat="1" applyFont="1" applyBorder="1" applyAlignment="1">
      <alignment horizontal="center"/>
    </xf>
    <xf numFmtId="178" fontId="0" fillId="0" borderId="22" xfId="2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7" borderId="24" xfId="0" applyFont="1" applyFill="1" applyBorder="1" applyAlignment="1">
      <alignment horizontal="center" vertical="center"/>
    </xf>
    <xf numFmtId="166" fontId="2" fillId="0" borderId="24" xfId="0" applyNumberFormat="1" applyFont="1" applyBorder="1" applyAlignment="1">
      <alignment horizontal="center" vertical="center"/>
    </xf>
    <xf numFmtId="166" fontId="2" fillId="0" borderId="30" xfId="0" applyNumberFormat="1" applyFont="1" applyBorder="1" applyAlignment="1">
      <alignment horizontal="center" vertical="center"/>
    </xf>
    <xf numFmtId="166" fontId="2" fillId="0" borderId="25" xfId="0" applyNumberFormat="1" applyFont="1" applyBorder="1" applyAlignment="1">
      <alignment horizontal="center" vertical="center"/>
    </xf>
    <xf numFmtId="0" fontId="0" fillId="7" borderId="52" xfId="0" applyFill="1" applyBorder="1" applyAlignment="1">
      <alignment horizontal="center"/>
    </xf>
    <xf numFmtId="175" fontId="2" fillId="2" borderId="15" xfId="0" applyNumberFormat="1" applyFont="1" applyFill="1" applyBorder="1"/>
    <xf numFmtId="178" fontId="0" fillId="7" borderId="18" xfId="2" applyNumberFormat="1" applyFont="1" applyFill="1" applyBorder="1" applyAlignment="1">
      <alignment horizontal="center"/>
    </xf>
    <xf numFmtId="181" fontId="0" fillId="0" borderId="17" xfId="0" applyNumberFormat="1" applyBorder="1" applyAlignment="1">
      <alignment horizontal="center"/>
    </xf>
    <xf numFmtId="171" fontId="0" fillId="0" borderId="11" xfId="1" applyNumberFormat="1" applyFont="1" applyBorder="1" applyAlignment="1">
      <alignment horizontal="center"/>
    </xf>
    <xf numFmtId="171" fontId="0" fillId="0" borderId="18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11" xfId="0" applyNumberFormat="1" applyBorder="1" applyAlignment="1">
      <alignment horizontal="center"/>
    </xf>
    <xf numFmtId="181" fontId="0" fillId="0" borderId="6" xfId="0" applyNumberFormat="1" applyBorder="1"/>
    <xf numFmtId="167" fontId="0" fillId="0" borderId="11" xfId="0" applyNumberFormat="1" applyBorder="1" applyAlignment="1">
      <alignment horizontal="center"/>
    </xf>
    <xf numFmtId="168" fontId="2" fillId="0" borderId="15" xfId="0" applyNumberFormat="1" applyFont="1" applyBorder="1" applyAlignment="1">
      <alignment horizontal="center"/>
    </xf>
    <xf numFmtId="180" fontId="0" fillId="0" borderId="11" xfId="0" applyNumberFormat="1" applyBorder="1" applyAlignment="1">
      <alignment horizontal="center"/>
    </xf>
    <xf numFmtId="182" fontId="0" fillId="0" borderId="32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0" xfId="1" applyNumberFormat="1" applyFont="1" applyAlignment="1"/>
    <xf numFmtId="178" fontId="0" fillId="0" borderId="12" xfId="2" applyNumberFormat="1" applyFont="1" applyBorder="1" applyAlignment="1">
      <alignment horizontal="center"/>
    </xf>
    <xf numFmtId="178" fontId="0" fillId="0" borderId="13" xfId="2" applyNumberFormat="1" applyFont="1" applyBorder="1" applyAlignment="1">
      <alignment horizontal="center"/>
    </xf>
    <xf numFmtId="178" fontId="0" fillId="0" borderId="14" xfId="2" applyNumberFormat="1" applyFont="1" applyBorder="1" applyAlignment="1">
      <alignment horizontal="center"/>
    </xf>
    <xf numFmtId="178" fontId="0" fillId="0" borderId="18" xfId="2" applyNumberFormat="1" applyFont="1" applyBorder="1" applyAlignment="1">
      <alignment horizontal="center"/>
    </xf>
    <xf numFmtId="178" fontId="0" fillId="0" borderId="19" xfId="2" applyNumberFormat="1" applyFont="1" applyBorder="1" applyAlignment="1">
      <alignment horizontal="center"/>
    </xf>
    <xf numFmtId="168" fontId="2" fillId="0" borderId="16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/>
    <xf numFmtId="2" fontId="0" fillId="0" borderId="15" xfId="0" applyNumberFormat="1" applyBorder="1"/>
    <xf numFmtId="2" fontId="0" fillId="0" borderId="16" xfId="0" applyNumberFormat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171" fontId="0" fillId="0" borderId="12" xfId="1" applyNumberFormat="1" applyFont="1" applyBorder="1" applyAlignment="1">
      <alignment horizontal="center"/>
    </xf>
    <xf numFmtId="171" fontId="0" fillId="0" borderId="15" xfId="1" applyNumberFormat="1" applyFont="1" applyBorder="1" applyAlignment="1">
      <alignment horizontal="center"/>
    </xf>
    <xf numFmtId="171" fontId="0" fillId="0" borderId="17" xfId="1" applyNumberFormat="1" applyFont="1" applyBorder="1" applyAlignment="1">
      <alignment horizontal="center"/>
    </xf>
    <xf numFmtId="0" fontId="0" fillId="0" borderId="65" xfId="0" applyBorder="1" applyAlignment="1">
      <alignment horizontal="center"/>
    </xf>
    <xf numFmtId="178" fontId="0" fillId="0" borderId="66" xfId="2" applyNumberFormat="1" applyFont="1" applyBorder="1" applyAlignment="1">
      <alignment horizontal="center"/>
    </xf>
    <xf numFmtId="178" fontId="0" fillId="0" borderId="41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0" fillId="0" borderId="21" xfId="0" applyBorder="1"/>
    <xf numFmtId="181" fontId="0" fillId="0" borderId="16" xfId="0" applyNumberFormat="1" applyBorder="1" applyAlignment="1">
      <alignment horizontal="center"/>
    </xf>
    <xf numFmtId="167" fontId="0" fillId="0" borderId="18" xfId="0" applyNumberFormat="1" applyBorder="1" applyAlignment="1">
      <alignment horizontal="center"/>
    </xf>
    <xf numFmtId="181" fontId="0" fillId="0" borderId="14" xfId="0" applyNumberFormat="1" applyBorder="1" applyAlignment="1">
      <alignment horizontal="center"/>
    </xf>
    <xf numFmtId="168" fontId="2" fillId="0" borderId="17" xfId="0" applyNumberFormat="1" applyFont="1" applyBorder="1" applyAlignment="1">
      <alignment horizontal="center"/>
    </xf>
    <xf numFmtId="2" fontId="0" fillId="7" borderId="11" xfId="0" applyNumberFormat="1" applyFill="1" applyBorder="1" applyAlignment="1">
      <alignment horizontal="center"/>
    </xf>
    <xf numFmtId="184" fontId="0" fillId="0" borderId="11" xfId="0" applyNumberFormat="1" applyBorder="1" applyAlignment="1">
      <alignment horizontal="center"/>
    </xf>
    <xf numFmtId="184" fontId="0" fillId="0" borderId="16" xfId="0" applyNumberFormat="1" applyBorder="1" applyAlignment="1">
      <alignment horizontal="center"/>
    </xf>
    <xf numFmtId="0" fontId="10" fillId="0" borderId="0" xfId="0" applyFont="1"/>
    <xf numFmtId="0" fontId="7" fillId="0" borderId="0" xfId="0" applyFont="1"/>
    <xf numFmtId="180" fontId="0" fillId="0" borderId="13" xfId="0" applyNumberFormat="1" applyBorder="1" applyAlignment="1">
      <alignment horizontal="center"/>
    </xf>
    <xf numFmtId="182" fontId="0" fillId="0" borderId="31" xfId="0" applyNumberFormat="1" applyBorder="1" applyAlignment="1">
      <alignment horizontal="center"/>
    </xf>
    <xf numFmtId="180" fontId="0" fillId="0" borderId="18" xfId="0" applyNumberFormat="1" applyBorder="1" applyAlignment="1">
      <alignment horizontal="center"/>
    </xf>
    <xf numFmtId="182" fontId="0" fillId="0" borderId="33" xfId="0" applyNumberFormat="1" applyBorder="1" applyAlignment="1">
      <alignment horizontal="center"/>
    </xf>
    <xf numFmtId="184" fontId="0" fillId="0" borderId="18" xfId="0" applyNumberFormat="1" applyBorder="1" applyAlignment="1">
      <alignment horizontal="center"/>
    </xf>
    <xf numFmtId="184" fontId="0" fillId="0" borderId="19" xfId="0" applyNumberFormat="1" applyBorder="1" applyAlignment="1">
      <alignment horizontal="center"/>
    </xf>
    <xf numFmtId="181" fontId="0" fillId="8" borderId="15" xfId="0" applyNumberFormat="1" applyFill="1" applyBorder="1" applyAlignment="1">
      <alignment horizontal="center"/>
    </xf>
    <xf numFmtId="178" fontId="0" fillId="0" borderId="17" xfId="2" applyNumberFormat="1" applyFont="1" applyBorder="1" applyAlignment="1">
      <alignment horizontal="center"/>
    </xf>
    <xf numFmtId="171" fontId="0" fillId="7" borderId="11" xfId="1" applyNumberFormat="1" applyFont="1" applyFill="1" applyBorder="1" applyAlignment="1">
      <alignment horizontal="center"/>
    </xf>
    <xf numFmtId="171" fontId="0" fillId="7" borderId="18" xfId="1" applyNumberFormat="1" applyFont="1" applyFill="1" applyBorder="1" applyAlignment="1">
      <alignment horizontal="center"/>
    </xf>
    <xf numFmtId="178" fontId="0" fillId="7" borderId="71" xfId="2" applyNumberFormat="1" applyFont="1" applyFill="1" applyBorder="1" applyAlignment="1">
      <alignment horizontal="center"/>
    </xf>
    <xf numFmtId="178" fontId="0" fillId="7" borderId="72" xfId="2" applyNumberFormat="1" applyFont="1" applyFill="1" applyBorder="1" applyAlignment="1">
      <alignment horizontal="center"/>
    </xf>
    <xf numFmtId="178" fontId="0" fillId="7" borderId="73" xfId="2" applyNumberFormat="1" applyFont="1" applyFill="1" applyBorder="1" applyAlignment="1">
      <alignment horizontal="center"/>
    </xf>
    <xf numFmtId="0" fontId="2" fillId="0" borderId="34" xfId="0" applyFont="1" applyBorder="1" applyAlignment="1">
      <alignment horizontal="center" vertical="center"/>
    </xf>
    <xf numFmtId="166" fontId="2" fillId="7" borderId="23" xfId="0" applyNumberFormat="1" applyFont="1" applyFill="1" applyBorder="1" applyAlignment="1">
      <alignment horizontal="center" vertical="center"/>
    </xf>
    <xf numFmtId="167" fontId="0" fillId="0" borderId="13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/>
    <xf numFmtId="0" fontId="0" fillId="0" borderId="22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1" xfId="0" applyBorder="1"/>
    <xf numFmtId="0" fontId="0" fillId="0" borderId="75" xfId="0" applyBorder="1"/>
    <xf numFmtId="0" fontId="0" fillId="0" borderId="76" xfId="0" applyBorder="1"/>
    <xf numFmtId="178" fontId="0" fillId="0" borderId="37" xfId="2" applyNumberFormat="1" applyFont="1" applyBorder="1" applyAlignment="1">
      <alignment horizontal="center"/>
    </xf>
    <xf numFmtId="178" fontId="0" fillId="0" borderId="38" xfId="2" applyNumberFormat="1" applyFont="1" applyBorder="1" applyAlignment="1">
      <alignment horizontal="center"/>
    </xf>
    <xf numFmtId="178" fontId="0" fillId="0" borderId="39" xfId="2" applyNumberFormat="1" applyFont="1" applyBorder="1" applyAlignment="1">
      <alignment horizontal="center"/>
    </xf>
    <xf numFmtId="166" fontId="2" fillId="0" borderId="78" xfId="0" applyNumberFormat="1" applyFont="1" applyBorder="1"/>
    <xf numFmtId="166" fontId="2" fillId="0" borderId="13" xfId="0" applyNumberFormat="1" applyFont="1" applyBorder="1"/>
    <xf numFmtId="166" fontId="2" fillId="0" borderId="14" xfId="0" applyNumberFormat="1" applyFont="1" applyBorder="1"/>
    <xf numFmtId="166" fontId="2" fillId="0" borderId="79" xfId="0" applyNumberFormat="1" applyFont="1" applyBorder="1"/>
    <xf numFmtId="166" fontId="2" fillId="0" borderId="45" xfId="0" applyNumberFormat="1" applyFont="1" applyBorder="1"/>
    <xf numFmtId="0" fontId="0" fillId="0" borderId="38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9" xfId="0" applyBorder="1"/>
    <xf numFmtId="0" fontId="0" fillId="0" borderId="20" xfId="0" applyBorder="1" applyAlignment="1">
      <alignment horizontal="center"/>
    </xf>
    <xf numFmtId="171" fontId="0" fillId="0" borderId="21" xfId="1" applyNumberFormat="1" applyFont="1" applyBorder="1" applyAlignment="1">
      <alignment horizontal="center"/>
    </xf>
    <xf numFmtId="0" fontId="0" fillId="0" borderId="22" xfId="0" applyBorder="1"/>
    <xf numFmtId="167" fontId="0" fillId="0" borderId="20" xfId="0" applyNumberFormat="1" applyBorder="1" applyAlignment="1">
      <alignment horizontal="center"/>
    </xf>
    <xf numFmtId="167" fontId="0" fillId="0" borderId="15" xfId="0" applyNumberFormat="1" applyBorder="1" applyAlignment="1">
      <alignment horizontal="center"/>
    </xf>
    <xf numFmtId="0" fontId="0" fillId="0" borderId="40" xfId="0" applyBorder="1"/>
    <xf numFmtId="0" fontId="0" fillId="0" borderId="28" xfId="0" applyBorder="1"/>
    <xf numFmtId="0" fontId="0" fillId="0" borderId="29" xfId="0" applyBorder="1"/>
    <xf numFmtId="166" fontId="2" fillId="5" borderId="23" xfId="0" applyNumberFormat="1" applyFont="1" applyFill="1" applyBorder="1" applyAlignment="1">
      <alignment horizontal="center" vertical="center" wrapText="1"/>
    </xf>
    <xf numFmtId="166" fontId="2" fillId="4" borderId="24" xfId="0" applyNumberFormat="1" applyFont="1" applyFill="1" applyBorder="1" applyAlignment="1">
      <alignment horizontal="center" vertical="center" wrapText="1"/>
    </xf>
    <xf numFmtId="166" fontId="2" fillId="6" borderId="25" xfId="0" applyNumberFormat="1" applyFont="1" applyFill="1" applyBorder="1" applyAlignment="1">
      <alignment horizontal="center" vertical="center" wrapText="1"/>
    </xf>
    <xf numFmtId="166" fontId="2" fillId="0" borderId="26" xfId="0" applyNumberFormat="1" applyFont="1" applyBorder="1" applyAlignment="1">
      <alignment horizontal="center" vertical="center" wrapText="1"/>
    </xf>
    <xf numFmtId="166" fontId="2" fillId="0" borderId="24" xfId="0" applyNumberFormat="1" applyFont="1" applyBorder="1" applyAlignment="1">
      <alignment horizontal="center" vertical="center" wrapText="1"/>
    </xf>
    <xf numFmtId="166" fontId="2" fillId="0" borderId="25" xfId="0" applyNumberFormat="1" applyFont="1" applyBorder="1" applyAlignment="1">
      <alignment horizontal="center" vertical="center" wrapText="1"/>
    </xf>
    <xf numFmtId="0" fontId="0" fillId="0" borderId="37" xfId="0" applyBorder="1" applyAlignment="1">
      <alignment horizontal="center"/>
    </xf>
    <xf numFmtId="0" fontId="0" fillId="0" borderId="39" xfId="0" applyBorder="1" applyAlignment="1">
      <alignment horizontal="center"/>
    </xf>
    <xf numFmtId="166" fontId="2" fillId="0" borderId="15" xfId="0" applyNumberFormat="1" applyFont="1" applyBorder="1"/>
    <xf numFmtId="166" fontId="2" fillId="0" borderId="16" xfId="0" applyNumberFormat="1" applyFont="1" applyBorder="1"/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80" xfId="0" applyBorder="1"/>
    <xf numFmtId="167" fontId="0" fillId="0" borderId="25" xfId="0" applyNumberFormat="1" applyBorder="1"/>
    <xf numFmtId="167" fontId="0" fillId="0" borderId="26" xfId="0" applyNumberFormat="1" applyBorder="1"/>
    <xf numFmtId="183" fontId="0" fillId="0" borderId="22" xfId="0" applyNumberFormat="1" applyBorder="1" applyAlignment="1">
      <alignment horizontal="center"/>
    </xf>
    <xf numFmtId="178" fontId="0" fillId="0" borderId="40" xfId="0" applyNumberFormat="1" applyBorder="1"/>
    <xf numFmtId="2" fontId="0" fillId="0" borderId="28" xfId="0" applyNumberFormat="1" applyBorder="1"/>
    <xf numFmtId="171" fontId="0" fillId="0" borderId="31" xfId="1" applyNumberFormat="1" applyFont="1" applyBorder="1" applyAlignment="1">
      <alignment horizontal="center"/>
    </xf>
    <xf numFmtId="171" fontId="0" fillId="0" borderId="32" xfId="1" applyNumberFormat="1" applyFont="1" applyBorder="1" applyAlignment="1">
      <alignment horizontal="center"/>
    </xf>
    <xf numFmtId="171" fontId="0" fillId="0" borderId="33" xfId="1" applyNumberFormat="1" applyFont="1" applyBorder="1" applyAlignment="1">
      <alignment horizontal="center"/>
    </xf>
    <xf numFmtId="0" fontId="0" fillId="0" borderId="36" xfId="0" applyBorder="1" applyAlignment="1">
      <alignment horizontal="center"/>
    </xf>
    <xf numFmtId="178" fontId="0" fillId="0" borderId="12" xfId="0" applyNumberFormat="1" applyBorder="1" applyAlignment="1">
      <alignment horizontal="center"/>
    </xf>
    <xf numFmtId="178" fontId="0" fillId="0" borderId="13" xfId="0" applyNumberFormat="1" applyBorder="1" applyAlignment="1">
      <alignment horizontal="center"/>
    </xf>
    <xf numFmtId="178" fontId="0" fillId="0" borderId="14" xfId="0" applyNumberFormat="1" applyBorder="1" applyAlignment="1">
      <alignment horizontal="center"/>
    </xf>
    <xf numFmtId="0" fontId="7" fillId="0" borderId="77" xfId="0" applyFont="1" applyBorder="1"/>
    <xf numFmtId="0" fontId="7" fillId="0" borderId="76" xfId="0" applyFont="1" applyBorder="1"/>
    <xf numFmtId="9" fontId="0" fillId="0" borderId="11" xfId="1" applyFont="1" applyBorder="1" applyAlignment="1">
      <alignment horizontal="center"/>
    </xf>
    <xf numFmtId="9" fontId="0" fillId="0" borderId="14" xfId="1" applyFont="1" applyBorder="1" applyAlignment="1">
      <alignment horizontal="center"/>
    </xf>
    <xf numFmtId="9" fontId="0" fillId="0" borderId="18" xfId="1" applyFont="1" applyBorder="1" applyAlignment="1">
      <alignment horizontal="center"/>
    </xf>
    <xf numFmtId="9" fontId="0" fillId="0" borderId="19" xfId="1" applyFont="1" applyBorder="1" applyAlignment="1">
      <alignment horizontal="center"/>
    </xf>
    <xf numFmtId="178" fontId="0" fillId="0" borderId="27" xfId="2" applyNumberFormat="1" applyFont="1" applyBorder="1" applyAlignment="1">
      <alignment horizontal="center"/>
    </xf>
    <xf numFmtId="178" fontId="0" fillId="0" borderId="28" xfId="2" applyNumberFormat="1" applyFont="1" applyBorder="1" applyAlignment="1">
      <alignment horizontal="center"/>
    </xf>
    <xf numFmtId="9" fontId="0" fillId="0" borderId="29" xfId="1" applyFont="1" applyBorder="1" applyAlignment="1">
      <alignment horizontal="center"/>
    </xf>
    <xf numFmtId="0" fontId="7" fillId="0" borderId="80" xfId="0" applyFont="1" applyBorder="1"/>
    <xf numFmtId="0" fontId="7" fillId="0" borderId="81" xfId="0" applyFont="1" applyBorder="1"/>
    <xf numFmtId="9" fontId="0" fillId="0" borderId="11" xfId="1" applyFont="1" applyBorder="1" applyAlignment="1">
      <alignment horizontal="center" vertical="center"/>
    </xf>
    <xf numFmtId="9" fontId="0" fillId="0" borderId="18" xfId="0" applyNumberFormat="1" applyBorder="1" applyAlignment="1">
      <alignment horizontal="center"/>
    </xf>
    <xf numFmtId="0" fontId="0" fillId="0" borderId="83" xfId="0" applyBorder="1"/>
    <xf numFmtId="9" fontId="0" fillId="0" borderId="40" xfId="1" applyFont="1" applyBorder="1" applyAlignment="1">
      <alignment horizont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0" xfId="1" applyFont="1"/>
    <xf numFmtId="181" fontId="0" fillId="0" borderId="44" xfId="0" applyNumberFormat="1" applyBorder="1"/>
    <xf numFmtId="9" fontId="0" fillId="0" borderId="70" xfId="1" applyFont="1" applyBorder="1" applyAlignment="1">
      <alignment horizontal="center"/>
    </xf>
    <xf numFmtId="171" fontId="0" fillId="7" borderId="16" xfId="1" applyNumberFormat="1" applyFont="1" applyFill="1" applyBorder="1" applyAlignment="1">
      <alignment horizontal="center"/>
    </xf>
    <xf numFmtId="171" fontId="0" fillId="7" borderId="19" xfId="1" applyNumberFormat="1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166" fontId="2" fillId="2" borderId="11" xfId="0" quotePrefix="1" applyNumberFormat="1" applyFont="1" applyFill="1" applyBorder="1"/>
    <xf numFmtId="178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175" fontId="0" fillId="0" borderId="0" xfId="0" applyNumberFormat="1"/>
    <xf numFmtId="178" fontId="0" fillId="9" borderId="11" xfId="2" applyNumberFormat="1" applyFont="1" applyFill="1" applyBorder="1" applyAlignment="1">
      <alignment horizontal="center"/>
    </xf>
    <xf numFmtId="171" fontId="0" fillId="9" borderId="11" xfId="1" applyNumberFormat="1" applyFont="1" applyFill="1" applyBorder="1" applyAlignment="1">
      <alignment horizontal="center"/>
    </xf>
    <xf numFmtId="171" fontId="0" fillId="9" borderId="16" xfId="1" applyNumberFormat="1" applyFont="1" applyFill="1" applyBorder="1" applyAlignment="1">
      <alignment horizontal="center"/>
    </xf>
    <xf numFmtId="180" fontId="0" fillId="0" borderId="0" xfId="0" applyNumberFormat="1"/>
    <xf numFmtId="2" fontId="0" fillId="7" borderId="27" xfId="0" applyNumberForma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3" fillId="0" borderId="0" xfId="4" applyAlignment="1">
      <alignment horizontal="center"/>
    </xf>
    <xf numFmtId="2" fontId="0" fillId="0" borderId="44" xfId="0" applyNumberFormat="1" applyBorder="1"/>
    <xf numFmtId="175" fontId="5" fillId="3" borderId="84" xfId="0" applyNumberFormat="1" applyFont="1" applyFill="1" applyBorder="1"/>
    <xf numFmtId="175" fontId="2" fillId="0" borderId="42" xfId="0" applyNumberFormat="1" applyFont="1" applyBorder="1"/>
    <xf numFmtId="175" fontId="2" fillId="0" borderId="85" xfId="0" applyNumberFormat="1" applyFont="1" applyBorder="1"/>
    <xf numFmtId="175" fontId="5" fillId="3" borderId="86" xfId="0" applyNumberFormat="1" applyFont="1" applyFill="1" applyBorder="1"/>
    <xf numFmtId="175" fontId="5" fillId="3" borderId="87" xfId="0" applyNumberFormat="1" applyFont="1" applyFill="1" applyBorder="1"/>
    <xf numFmtId="175" fontId="5" fillId="3" borderId="88" xfId="0" applyNumberFormat="1" applyFont="1" applyFill="1" applyBorder="1"/>
    <xf numFmtId="166" fontId="3" fillId="2" borderId="32" xfId="0" applyNumberFormat="1" applyFont="1" applyFill="1" applyBorder="1"/>
    <xf numFmtId="166" fontId="3" fillId="2" borderId="15" xfId="0" applyNumberFormat="1" applyFont="1" applyFill="1" applyBorder="1"/>
    <xf numFmtId="166" fontId="3" fillId="2" borderId="11" xfId="0" applyNumberFormat="1" applyFont="1" applyFill="1" applyBorder="1"/>
    <xf numFmtId="166" fontId="3" fillId="2" borderId="17" xfId="0" applyNumberFormat="1" applyFont="1" applyFill="1" applyBorder="1"/>
    <xf numFmtId="166" fontId="3" fillId="2" borderId="18" xfId="0" applyNumberFormat="1" applyFont="1" applyFill="1" applyBorder="1"/>
    <xf numFmtId="9" fontId="0" fillId="0" borderId="15" xfId="1" applyFont="1" applyBorder="1" applyAlignment="1">
      <alignment horizontal="center"/>
    </xf>
    <xf numFmtId="9" fontId="0" fillId="0" borderId="16" xfId="1" applyFont="1" applyBorder="1" applyAlignment="1">
      <alignment horizontal="center"/>
    </xf>
    <xf numFmtId="9" fontId="0" fillId="0" borderId="15" xfId="1" applyFont="1" applyBorder="1" applyAlignment="1">
      <alignment horizontal="center" vertical="center"/>
    </xf>
    <xf numFmtId="9" fontId="0" fillId="0" borderId="16" xfId="1" applyFont="1" applyBorder="1" applyAlignment="1">
      <alignment horizontal="center" vertical="center"/>
    </xf>
    <xf numFmtId="9" fontId="0" fillId="0" borderId="19" xfId="0" applyNumberFormat="1" applyBorder="1" applyAlignment="1">
      <alignment horizontal="center"/>
    </xf>
    <xf numFmtId="0" fontId="13" fillId="0" borderId="0" xfId="4"/>
    <xf numFmtId="167" fontId="0" fillId="0" borderId="0" xfId="0" applyNumberFormat="1"/>
    <xf numFmtId="0" fontId="8" fillId="0" borderId="11" xfId="0" applyFont="1" applyBorder="1"/>
    <xf numFmtId="178" fontId="0" fillId="0" borderId="0" xfId="0" applyNumberFormat="1"/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2" fontId="0" fillId="7" borderId="18" xfId="0" applyNumberFormat="1" applyFill="1" applyBorder="1" applyAlignment="1">
      <alignment horizontal="center"/>
    </xf>
    <xf numFmtId="14" fontId="0" fillId="0" borderId="15" xfId="0" applyNumberFormat="1" applyBorder="1"/>
    <xf numFmtId="14" fontId="7" fillId="0" borderId="15" xfId="0" applyNumberFormat="1" applyFont="1" applyBorder="1" applyAlignment="1">
      <alignment horizontal="right"/>
    </xf>
    <xf numFmtId="14" fontId="7" fillId="0" borderId="17" xfId="0" applyNumberFormat="1" applyFont="1" applyBorder="1" applyAlignment="1">
      <alignment horizontal="right"/>
    </xf>
    <xf numFmtId="0" fontId="8" fillId="0" borderId="16" xfId="0" applyFont="1" applyBorder="1"/>
    <xf numFmtId="0" fontId="8" fillId="0" borderId="18" xfId="0" applyFont="1" applyBorder="1"/>
    <xf numFmtId="0" fontId="8" fillId="0" borderId="19" xfId="0" applyFont="1" applyBorder="1"/>
    <xf numFmtId="14" fontId="0" fillId="0" borderId="20" xfId="0" applyNumberFormat="1" applyBorder="1"/>
    <xf numFmtId="2" fontId="0" fillId="0" borderId="0" xfId="0" applyNumberFormat="1"/>
    <xf numFmtId="2" fontId="0" fillId="0" borderId="90" xfId="0" applyNumberFormat="1" applyBorder="1"/>
    <xf numFmtId="0" fontId="0" fillId="0" borderId="79" xfId="0" applyBorder="1" applyAlignment="1">
      <alignment horizontal="center"/>
    </xf>
    <xf numFmtId="168" fontId="2" fillId="0" borderId="20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181" fontId="0" fillId="0" borderId="19" xfId="0" applyNumberFormat="1" applyBorder="1" applyAlignment="1">
      <alignment horizontal="center"/>
    </xf>
    <xf numFmtId="178" fontId="0" fillId="7" borderId="27" xfId="2" applyNumberFormat="1" applyFont="1" applyFill="1" applyBorder="1" applyAlignment="1">
      <alignment horizontal="center"/>
    </xf>
    <xf numFmtId="178" fontId="0" fillId="7" borderId="28" xfId="2" applyNumberFormat="1" applyFont="1" applyFill="1" applyBorder="1" applyAlignment="1">
      <alignment horizontal="center"/>
    </xf>
    <xf numFmtId="178" fontId="0" fillId="7" borderId="29" xfId="2" applyNumberFormat="1" applyFont="1" applyFill="1" applyBorder="1" applyAlignment="1">
      <alignment horizontal="center"/>
    </xf>
    <xf numFmtId="167" fontId="2" fillId="2" borderId="15" xfId="0" applyNumberFormat="1" applyFont="1" applyFill="1" applyBorder="1"/>
    <xf numFmtId="0" fontId="0" fillId="0" borderId="30" xfId="0" applyBorder="1" applyAlignment="1">
      <alignment horizontal="center"/>
    </xf>
    <xf numFmtId="181" fontId="0" fillId="0" borderId="33" xfId="3" applyNumberFormat="1" applyFont="1" applyBorder="1"/>
    <xf numFmtId="0" fontId="0" fillId="0" borderId="79" xfId="0" applyBorder="1"/>
    <xf numFmtId="0" fontId="0" fillId="0" borderId="62" xfId="0" applyBorder="1"/>
    <xf numFmtId="181" fontId="0" fillId="0" borderId="61" xfId="0" applyNumberFormat="1" applyBorder="1"/>
    <xf numFmtId="9" fontId="7" fillId="0" borderId="0" xfId="1" applyFont="1" applyAlignment="1"/>
    <xf numFmtId="0" fontId="7" fillId="0" borderId="18" xfId="0" applyFont="1" applyBorder="1"/>
    <xf numFmtId="0" fontId="0" fillId="0" borderId="62" xfId="0" applyBorder="1" applyAlignment="1">
      <alignment horizontal="center"/>
    </xf>
    <xf numFmtId="0" fontId="3" fillId="0" borderId="74" xfId="0" applyFont="1" applyBorder="1" applyAlignment="1">
      <alignment horizontal="center" vertical="center"/>
    </xf>
    <xf numFmtId="181" fontId="0" fillId="0" borderId="32" xfId="3" applyNumberFormat="1" applyFont="1" applyFill="1" applyBorder="1"/>
    <xf numFmtId="0" fontId="7" fillId="0" borderId="6" xfId="0" applyFont="1" applyBorder="1"/>
    <xf numFmtId="167" fontId="0" fillId="0" borderId="82" xfId="0" applyNumberFormat="1" applyBorder="1" applyAlignment="1">
      <alignment vertical="center"/>
    </xf>
    <xf numFmtId="181" fontId="0" fillId="0" borderId="11" xfId="3" applyNumberFormat="1" applyFont="1" applyFill="1" applyBorder="1" applyAlignment="1">
      <alignment horizontal="center"/>
    </xf>
    <xf numFmtId="0" fontId="0" fillId="10" borderId="11" xfId="0" applyFill="1" applyBorder="1"/>
    <xf numFmtId="167" fontId="0" fillId="10" borderId="11" xfId="0" applyNumberFormat="1" applyFill="1" applyBorder="1"/>
    <xf numFmtId="2" fontId="0" fillId="0" borderId="13" xfId="0" applyNumberFormat="1" applyBorder="1" applyAlignment="1">
      <alignment horizontal="center"/>
    </xf>
    <xf numFmtId="9" fontId="0" fillId="0" borderId="0" xfId="0" applyNumberFormat="1"/>
    <xf numFmtId="171" fontId="0" fillId="0" borderId="26" xfId="0" applyNumberFormat="1" applyBorder="1" applyAlignment="1">
      <alignment horizontal="center"/>
    </xf>
    <xf numFmtId="171" fontId="0" fillId="0" borderId="24" xfId="0" applyNumberFormat="1" applyBorder="1" applyAlignment="1">
      <alignment horizontal="center"/>
    </xf>
    <xf numFmtId="171" fontId="0" fillId="0" borderId="25" xfId="0" applyNumberFormat="1" applyBorder="1" applyAlignment="1">
      <alignment horizontal="center"/>
    </xf>
    <xf numFmtId="171" fontId="0" fillId="0" borderId="0" xfId="1" applyNumberFormat="1" applyFont="1" applyAlignment="1"/>
    <xf numFmtId="181" fontId="0" fillId="0" borderId="11" xfId="0" applyNumberFormat="1" applyBorder="1" applyAlignment="1">
      <alignment horizontal="center"/>
    </xf>
    <xf numFmtId="181" fontId="0" fillId="0" borderId="18" xfId="0" applyNumberFormat="1" applyBorder="1" applyAlignment="1">
      <alignment horizontal="center"/>
    </xf>
    <xf numFmtId="0" fontId="4" fillId="0" borderId="40" xfId="5" applyFont="1" applyBorder="1"/>
    <xf numFmtId="0" fontId="4" fillId="0" borderId="21" xfId="5" applyFont="1" applyBorder="1"/>
    <xf numFmtId="0" fontId="4" fillId="0" borderId="16" xfId="5" applyFont="1" applyBorder="1" applyAlignment="1">
      <alignment horizontal="center" vertical="center"/>
    </xf>
    <xf numFmtId="0" fontId="4" fillId="0" borderId="28" xfId="5" applyFont="1" applyBorder="1"/>
    <xf numFmtId="0" fontId="4" fillId="0" borderId="11" xfId="5" applyFont="1" applyBorder="1"/>
    <xf numFmtId="0" fontId="0" fillId="0" borderId="92" xfId="0" applyBorder="1"/>
    <xf numFmtId="0" fontId="7" fillId="0" borderId="30" xfId="0" applyFont="1" applyBorder="1" applyAlignment="1">
      <alignment horizontal="center"/>
    </xf>
    <xf numFmtId="181" fontId="0" fillId="0" borderId="73" xfId="3" applyNumberFormat="1" applyFont="1" applyBorder="1"/>
    <xf numFmtId="181" fontId="0" fillId="0" borderId="93" xfId="3" applyNumberFormat="1" applyFont="1" applyFill="1" applyBorder="1"/>
    <xf numFmtId="181" fontId="0" fillId="0" borderId="72" xfId="3" applyNumberFormat="1" applyFont="1" applyFill="1" applyBorder="1"/>
    <xf numFmtId="0" fontId="7" fillId="0" borderId="52" xfId="0" applyFont="1" applyBorder="1" applyAlignment="1">
      <alignment horizontal="center"/>
    </xf>
    <xf numFmtId="186" fontId="2" fillId="0" borderId="0" xfId="3" applyNumberFormat="1" applyFont="1" applyAlignment="1">
      <alignment horizontal="center"/>
    </xf>
    <xf numFmtId="0" fontId="4" fillId="0" borderId="22" xfId="5" applyFont="1" applyBorder="1" applyAlignment="1">
      <alignment horizontal="right" vertical="center"/>
    </xf>
    <xf numFmtId="167" fontId="0" fillId="0" borderId="21" xfId="0" applyNumberFormat="1" applyBorder="1"/>
    <xf numFmtId="0" fontId="7" fillId="0" borderId="14" xfId="0" applyFont="1" applyBorder="1"/>
    <xf numFmtId="0" fontId="7" fillId="0" borderId="13" xfId="0" applyFont="1" applyBorder="1"/>
    <xf numFmtId="0" fontId="0" fillId="0" borderId="66" xfId="0" applyBorder="1" applyAlignment="1">
      <alignment horizontal="center"/>
    </xf>
    <xf numFmtId="0" fontId="0" fillId="0" borderId="45" xfId="0" applyBorder="1" applyAlignment="1">
      <alignment horizontal="center"/>
    </xf>
    <xf numFmtId="178" fontId="0" fillId="0" borderId="15" xfId="2" applyNumberFormat="1" applyFont="1" applyFill="1" applyBorder="1" applyAlignment="1">
      <alignment horizontal="center"/>
    </xf>
    <xf numFmtId="178" fontId="0" fillId="0" borderId="11" xfId="2" applyNumberFormat="1" applyFont="1" applyFill="1" applyBorder="1" applyAlignment="1">
      <alignment horizontal="center"/>
    </xf>
    <xf numFmtId="178" fontId="0" fillId="0" borderId="16" xfId="2" applyNumberFormat="1" applyFont="1" applyFill="1" applyBorder="1" applyAlignment="1">
      <alignment horizontal="center"/>
    </xf>
    <xf numFmtId="0" fontId="4" fillId="7" borderId="21" xfId="5" applyFont="1" applyFill="1" applyBorder="1"/>
    <xf numFmtId="181" fontId="0" fillId="0" borderId="33" xfId="3" applyNumberFormat="1" applyFont="1" applyFill="1" applyBorder="1"/>
    <xf numFmtId="184" fontId="0" fillId="0" borderId="0" xfId="1" applyNumberFormat="1" applyFont="1" applyAlignment="1"/>
    <xf numFmtId="178" fontId="0" fillId="0" borderId="0" xfId="1" applyNumberFormat="1" applyFont="1" applyAlignment="1"/>
    <xf numFmtId="167" fontId="0" fillId="0" borderId="89" xfId="0" applyNumberFormat="1" applyBorder="1" applyAlignment="1">
      <alignment vertical="center"/>
    </xf>
    <xf numFmtId="167" fontId="0" fillId="0" borderId="51" xfId="0" applyNumberFormat="1" applyBorder="1"/>
    <xf numFmtId="181" fontId="0" fillId="0" borderId="0" xfId="3" applyNumberFormat="1" applyFont="1"/>
    <xf numFmtId="167" fontId="0" fillId="0" borderId="91" xfId="0" applyNumberForma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181" fontId="0" fillId="8" borderId="20" xfId="0" applyNumberFormat="1" applyFill="1" applyBorder="1" applyAlignment="1">
      <alignment horizontal="center"/>
    </xf>
    <xf numFmtId="178" fontId="0" fillId="7" borderId="21" xfId="2" applyNumberFormat="1" applyFont="1" applyFill="1" applyBorder="1" applyAlignment="1">
      <alignment horizontal="center"/>
    </xf>
    <xf numFmtId="171" fontId="0" fillId="7" borderId="21" xfId="1" applyNumberFormat="1" applyFont="1" applyFill="1" applyBorder="1" applyAlignment="1">
      <alignment horizontal="center"/>
    </xf>
    <xf numFmtId="171" fontId="0" fillId="7" borderId="22" xfId="1" applyNumberFormat="1" applyFont="1" applyFill="1" applyBorder="1" applyAlignment="1">
      <alignment horizontal="center"/>
    </xf>
    <xf numFmtId="166" fontId="2" fillId="7" borderId="24" xfId="0" applyNumberFormat="1" applyFont="1" applyFill="1" applyBorder="1" applyAlignment="1">
      <alignment horizontal="center" vertical="center"/>
    </xf>
    <xf numFmtId="166" fontId="2" fillId="7" borderId="25" xfId="0" applyNumberFormat="1" applyFont="1" applyFill="1" applyBorder="1" applyAlignment="1">
      <alignment horizontal="center" vertical="center"/>
    </xf>
    <xf numFmtId="167" fontId="0" fillId="0" borderId="31" xfId="0" applyNumberFormat="1" applyBorder="1"/>
    <xf numFmtId="167" fontId="0" fillId="0" borderId="92" xfId="0" applyNumberFormat="1" applyBorder="1"/>
    <xf numFmtId="171" fontId="0" fillId="0" borderId="0" xfId="1" applyNumberFormat="1" applyFont="1"/>
    <xf numFmtId="0" fontId="7" fillId="0" borderId="75" xfId="0" applyFont="1" applyBorder="1"/>
    <xf numFmtId="9" fontId="0" fillId="0" borderId="20" xfId="1" applyFont="1" applyBorder="1" applyAlignment="1">
      <alignment horizontal="center"/>
    </xf>
    <xf numFmtId="178" fontId="0" fillId="0" borderId="29" xfId="2" applyNumberFormat="1" applyFont="1" applyBorder="1" applyAlignment="1">
      <alignment horizontal="center"/>
    </xf>
    <xf numFmtId="9" fontId="0" fillId="0" borderId="28" xfId="1" applyFont="1" applyBorder="1" applyAlignment="1">
      <alignment horizontal="center"/>
    </xf>
    <xf numFmtId="187" fontId="0" fillId="0" borderId="0" xfId="1" applyNumberFormat="1" applyFont="1" applyAlignment="1"/>
    <xf numFmtId="178" fontId="0" fillId="7" borderId="38" xfId="2" applyNumberFormat="1" applyFont="1" applyFill="1" applyBorder="1" applyAlignment="1">
      <alignment horizontal="center"/>
    </xf>
    <xf numFmtId="171" fontId="0" fillId="7" borderId="38" xfId="1" applyNumberFormat="1" applyFont="1" applyFill="1" applyBorder="1" applyAlignment="1">
      <alignment horizontal="center"/>
    </xf>
    <xf numFmtId="178" fontId="0" fillId="0" borderId="62" xfId="1" applyNumberFormat="1" applyFont="1" applyBorder="1" applyAlignment="1">
      <alignment horizontal="center"/>
    </xf>
    <xf numFmtId="171" fontId="0" fillId="0" borderId="61" xfId="1" applyNumberFormat="1" applyFont="1" applyBorder="1" applyAlignment="1">
      <alignment horizontal="center"/>
    </xf>
    <xf numFmtId="178" fontId="0" fillId="9" borderId="21" xfId="2" applyNumberFormat="1" applyFont="1" applyFill="1" applyBorder="1" applyAlignment="1">
      <alignment horizontal="center"/>
    </xf>
    <xf numFmtId="184" fontId="0" fillId="9" borderId="12" xfId="0" applyNumberFormat="1" applyFill="1" applyBorder="1" applyAlignment="1">
      <alignment horizontal="center"/>
    </xf>
    <xf numFmtId="184" fontId="0" fillId="9" borderId="15" xfId="0" applyNumberFormat="1" applyFill="1" applyBorder="1" applyAlignment="1">
      <alignment horizontal="center"/>
    </xf>
    <xf numFmtId="181" fontId="0" fillId="0" borderId="73" xfId="3" applyNumberFormat="1" applyFont="1" applyFill="1" applyBorder="1"/>
    <xf numFmtId="0" fontId="4" fillId="7" borderId="40" xfId="5" applyFont="1" applyFill="1" applyBorder="1"/>
    <xf numFmtId="166" fontId="2" fillId="2" borderId="44" xfId="0" applyNumberFormat="1" applyFont="1" applyFill="1" applyBorder="1"/>
    <xf numFmtId="166" fontId="2" fillId="2" borderId="79" xfId="0" applyNumberFormat="1" applyFont="1" applyFill="1" applyBorder="1"/>
    <xf numFmtId="166" fontId="2" fillId="2" borderId="45" xfId="0" applyNumberFormat="1" applyFont="1" applyFill="1" applyBorder="1"/>
    <xf numFmtId="167" fontId="7" fillId="10" borderId="11" xfId="0" applyNumberFormat="1" applyFont="1" applyFill="1" applyBorder="1"/>
    <xf numFmtId="0" fontId="5" fillId="3" borderId="1" xfId="0" applyFont="1" applyFill="1" applyBorder="1" applyAlignment="1">
      <alignment horizontal="left" vertical="center"/>
    </xf>
    <xf numFmtId="1" fontId="0" fillId="0" borderId="11" xfId="0" applyNumberFormat="1" applyBorder="1" applyAlignment="1">
      <alignment horizontal="center"/>
    </xf>
    <xf numFmtId="184" fontId="0" fillId="7" borderId="15" xfId="0" applyNumberFormat="1" applyFill="1" applyBorder="1" applyAlignment="1">
      <alignment horizontal="center"/>
    </xf>
    <xf numFmtId="182" fontId="0" fillId="7" borderId="15" xfId="0" applyNumberFormat="1" applyFill="1" applyBorder="1" applyAlignment="1">
      <alignment horizontal="center"/>
    </xf>
    <xf numFmtId="182" fontId="0" fillId="7" borderId="17" xfId="0" applyNumberFormat="1" applyFill="1" applyBorder="1" applyAlignment="1">
      <alignment horizontal="center"/>
    </xf>
    <xf numFmtId="0" fontId="7" fillId="10" borderId="13" xfId="0" applyFont="1" applyFill="1" applyBorder="1"/>
    <xf numFmtId="167" fontId="0" fillId="10" borderId="18" xfId="0" applyNumberFormat="1" applyFill="1" applyBorder="1"/>
    <xf numFmtId="167" fontId="0" fillId="0" borderId="18" xfId="0" applyNumberFormat="1" applyBorder="1"/>
    <xf numFmtId="167" fontId="0" fillId="0" borderId="15" xfId="0" applyNumberFormat="1" applyBorder="1"/>
    <xf numFmtId="2" fontId="0" fillId="0" borderId="21" xfId="0" applyNumberFormat="1" applyBorder="1"/>
    <xf numFmtId="2" fontId="0" fillId="0" borderId="51" xfId="0" applyNumberFormat="1" applyBorder="1"/>
    <xf numFmtId="0" fontId="0" fillId="0" borderId="32" xfId="0" applyBorder="1"/>
    <xf numFmtId="181" fontId="0" fillId="0" borderId="0" xfId="1" applyNumberFormat="1" applyFont="1" applyAlignment="1"/>
    <xf numFmtId="168" fontId="2" fillId="0" borderId="44" xfId="0" applyNumberFormat="1" applyFont="1" applyBorder="1" applyAlignment="1">
      <alignment horizontal="center"/>
    </xf>
    <xf numFmtId="167" fontId="0" fillId="7" borderId="11" xfId="0" applyNumberFormat="1" applyFill="1" applyBorder="1" applyAlignment="1">
      <alignment horizontal="center"/>
    </xf>
    <xf numFmtId="0" fontId="4" fillId="0" borderId="51" xfId="5" applyFont="1" applyBorder="1"/>
    <xf numFmtId="0" fontId="4" fillId="0" borderId="32" xfId="5" applyFont="1" applyBorder="1"/>
    <xf numFmtId="0" fontId="0" fillId="0" borderId="33" xfId="0" applyBorder="1"/>
    <xf numFmtId="0" fontId="0" fillId="0" borderId="81" xfId="0" applyBorder="1"/>
    <xf numFmtId="0" fontId="4" fillId="0" borderId="94" xfId="5" applyFont="1" applyBorder="1" applyAlignment="1">
      <alignment horizontal="center"/>
    </xf>
    <xf numFmtId="0" fontId="4" fillId="0" borderId="79" xfId="5" applyFont="1" applyBorder="1" applyAlignment="1">
      <alignment horizontal="center"/>
    </xf>
    <xf numFmtId="0" fontId="4" fillId="0" borderId="92" xfId="5" applyFont="1" applyBorder="1" applyAlignment="1">
      <alignment horizontal="center"/>
    </xf>
    <xf numFmtId="0" fontId="4" fillId="0" borderId="78" xfId="5" applyFont="1" applyBorder="1" applyAlignment="1">
      <alignment horizontal="center"/>
    </xf>
    <xf numFmtId="0" fontId="0" fillId="5" borderId="23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181" fontId="0" fillId="0" borderId="0" xfId="1" applyNumberFormat="1" applyFont="1"/>
    <xf numFmtId="167" fontId="0" fillId="7" borderId="13" xfId="0" applyNumberFormat="1" applyFill="1" applyBorder="1" applyAlignment="1">
      <alignment horizontal="center"/>
    </xf>
    <xf numFmtId="167" fontId="0" fillId="7" borderId="18" xfId="0" applyNumberFormat="1" applyFill="1" applyBorder="1" applyAlignment="1">
      <alignment horizontal="center"/>
    </xf>
    <xf numFmtId="43" fontId="0" fillId="7" borderId="11" xfId="2" applyFont="1" applyFill="1" applyBorder="1" applyAlignment="1">
      <alignment horizontal="center"/>
    </xf>
    <xf numFmtId="188" fontId="0" fillId="0" borderId="0" xfId="0" applyNumberFormat="1"/>
    <xf numFmtId="167" fontId="7" fillId="7" borderId="11" xfId="0" applyNumberFormat="1" applyFont="1" applyFill="1" applyBorder="1" applyAlignment="1">
      <alignment horizontal="center"/>
    </xf>
    <xf numFmtId="0" fontId="3" fillId="0" borderId="30" xfId="0" applyFont="1" applyBorder="1"/>
    <xf numFmtId="167" fontId="2" fillId="0" borderId="52" xfId="0" applyNumberFormat="1" applyFont="1" applyBorder="1" applyAlignment="1">
      <alignment horizontal="center"/>
    </xf>
    <xf numFmtId="167" fontId="2" fillId="0" borderId="52" xfId="0" applyNumberFormat="1" applyFont="1" applyBorder="1"/>
    <xf numFmtId="166" fontId="2" fillId="2" borderId="66" xfId="0" applyNumberFormat="1" applyFont="1" applyFill="1" applyBorder="1"/>
    <xf numFmtId="166" fontId="2" fillId="2" borderId="60" xfId="0" applyNumberFormat="1" applyFont="1" applyFill="1" applyBorder="1"/>
    <xf numFmtId="166" fontId="2" fillId="2" borderId="51" xfId="0" applyNumberFormat="1" applyFont="1" applyFill="1" applyBorder="1"/>
    <xf numFmtId="166" fontId="3" fillId="2" borderId="33" xfId="0" applyNumberFormat="1" applyFont="1" applyFill="1" applyBorder="1"/>
    <xf numFmtId="175" fontId="2" fillId="2" borderId="21" xfId="0" applyNumberFormat="1" applyFont="1" applyFill="1" applyBorder="1"/>
    <xf numFmtId="166" fontId="2" fillId="2" borderId="92" xfId="0" applyNumberFormat="1" applyFont="1" applyFill="1" applyBorder="1"/>
    <xf numFmtId="167" fontId="2" fillId="0" borderId="30" xfId="0" applyNumberFormat="1" applyFont="1" applyBorder="1"/>
    <xf numFmtId="166" fontId="2" fillId="2" borderId="41" xfId="0" applyNumberFormat="1" applyFont="1" applyFill="1" applyBorder="1"/>
    <xf numFmtId="167" fontId="2" fillId="0" borderId="41" xfId="0" applyNumberFormat="1" applyFont="1" applyBorder="1" applyAlignment="1">
      <alignment horizontal="center"/>
    </xf>
    <xf numFmtId="167" fontId="2" fillId="0" borderId="41" xfId="0" applyNumberFormat="1" applyFont="1" applyBorder="1"/>
    <xf numFmtId="167" fontId="2" fillId="0" borderId="6" xfId="0" applyNumberFormat="1" applyFont="1" applyBorder="1" applyAlignment="1">
      <alignment horizontal="center"/>
    </xf>
    <xf numFmtId="175" fontId="2" fillId="2" borderId="20" xfId="0" applyNumberFormat="1" applyFont="1" applyFill="1" applyBorder="1"/>
    <xf numFmtId="0" fontId="5" fillId="0" borderId="30" xfId="0" applyFont="1" applyBorder="1" applyAlignment="1">
      <alignment horizontal="center"/>
    </xf>
    <xf numFmtId="166" fontId="2" fillId="0" borderId="40" xfId="0" applyNumberFormat="1" applyFont="1" applyBorder="1"/>
    <xf numFmtId="166" fontId="2" fillId="0" borderId="65" xfId="0" applyNumberFormat="1" applyFont="1" applyBorder="1"/>
    <xf numFmtId="166" fontId="2" fillId="0" borderId="41" xfId="0" applyNumberFormat="1" applyFont="1" applyBorder="1"/>
    <xf numFmtId="181" fontId="7" fillId="0" borderId="11" xfId="3" applyNumberFormat="1" applyFont="1" applyFill="1" applyBorder="1" applyAlignment="1">
      <alignment horizontal="center"/>
    </xf>
    <xf numFmtId="181" fontId="7" fillId="0" borderId="11" xfId="0" applyNumberFormat="1" applyFont="1" applyBorder="1" applyAlignment="1">
      <alignment horizontal="center"/>
    </xf>
    <xf numFmtId="10" fontId="0" fillId="0" borderId="0" xfId="0" applyNumberFormat="1"/>
    <xf numFmtId="0" fontId="2" fillId="0" borderId="96" xfId="0" applyFont="1" applyBorder="1" applyAlignment="1">
      <alignment horizontal="center"/>
    </xf>
    <xf numFmtId="0" fontId="2" fillId="0" borderId="97" xfId="0" applyFont="1" applyBorder="1" applyAlignment="1">
      <alignment horizontal="center"/>
    </xf>
    <xf numFmtId="168" fontId="2" fillId="0" borderId="97" xfId="0" applyNumberFormat="1" applyFont="1" applyBorder="1" applyAlignment="1">
      <alignment horizontal="center"/>
    </xf>
    <xf numFmtId="0" fontId="2" fillId="0" borderId="98" xfId="0" applyFont="1" applyBorder="1" applyAlignment="1">
      <alignment horizontal="center"/>
    </xf>
    <xf numFmtId="175" fontId="2" fillId="2" borderId="40" xfId="0" applyNumberFormat="1" applyFont="1" applyFill="1" applyBorder="1"/>
    <xf numFmtId="166" fontId="2" fillId="2" borderId="28" xfId="0" applyNumberFormat="1" applyFont="1" applyFill="1" applyBorder="1"/>
    <xf numFmtId="166" fontId="3" fillId="2" borderId="28" xfId="0" applyNumberFormat="1" applyFont="1" applyFill="1" applyBorder="1"/>
    <xf numFmtId="166" fontId="3" fillId="2" borderId="29" xfId="0" applyNumberFormat="1" applyFont="1" applyFill="1" applyBorder="1"/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166" fontId="2" fillId="2" borderId="90" xfId="0" applyNumberFormat="1" applyFont="1" applyFill="1" applyBorder="1"/>
    <xf numFmtId="166" fontId="2" fillId="2" borderId="63" xfId="0" applyNumberFormat="1" applyFont="1" applyFill="1" applyBorder="1"/>
    <xf numFmtId="166" fontId="3" fillId="2" borderId="16" xfId="0" applyNumberFormat="1" applyFont="1" applyFill="1" applyBorder="1"/>
    <xf numFmtId="166" fontId="3" fillId="2" borderId="19" xfId="0" applyNumberFormat="1" applyFont="1" applyFill="1" applyBorder="1"/>
    <xf numFmtId="167" fontId="0" fillId="0" borderId="17" xfId="0" applyNumberFormat="1" applyBorder="1" applyAlignment="1">
      <alignment horizontal="center"/>
    </xf>
    <xf numFmtId="0" fontId="0" fillId="0" borderId="0" xfId="0" applyAlignment="1">
      <alignment horizontal="left"/>
    </xf>
    <xf numFmtId="1" fontId="2" fillId="0" borderId="6" xfId="0" applyNumberFormat="1" applyFont="1" applyBorder="1"/>
    <xf numFmtId="0" fontId="8" fillId="0" borderId="36" xfId="0" applyFont="1" applyBorder="1" applyAlignment="1">
      <alignment horizontal="center"/>
    </xf>
    <xf numFmtId="169" fontId="2" fillId="0" borderId="60" xfId="0" applyNumberFormat="1" applyFont="1" applyBorder="1" applyAlignment="1">
      <alignment horizontal="center"/>
    </xf>
    <xf numFmtId="173" fontId="2" fillId="0" borderId="79" xfId="0" applyNumberFormat="1" applyFont="1" applyBorder="1"/>
    <xf numFmtId="173" fontId="2" fillId="0" borderId="45" xfId="0" applyNumberFormat="1" applyFont="1" applyBorder="1"/>
    <xf numFmtId="173" fontId="2" fillId="0" borderId="13" xfId="0" applyNumberFormat="1" applyFont="1" applyBorder="1"/>
    <xf numFmtId="167" fontId="0" fillId="0" borderId="14" xfId="0" applyNumberFormat="1" applyBorder="1"/>
    <xf numFmtId="173" fontId="2" fillId="0" borderId="18" xfId="0" applyNumberFormat="1" applyFont="1" applyBorder="1"/>
    <xf numFmtId="167" fontId="0" fillId="0" borderId="19" xfId="0" applyNumberFormat="1" applyBorder="1"/>
    <xf numFmtId="169" fontId="2" fillId="0" borderId="28" xfId="0" applyNumberFormat="1" applyFont="1" applyBorder="1" applyAlignment="1">
      <alignment horizontal="center"/>
    </xf>
    <xf numFmtId="181" fontId="0" fillId="0" borderId="32" xfId="0" applyNumberFormat="1" applyBorder="1" applyAlignment="1">
      <alignment horizontal="center"/>
    </xf>
    <xf numFmtId="167" fontId="0" fillId="0" borderId="6" xfId="0" applyNumberFormat="1" applyBorder="1" applyAlignment="1">
      <alignment vertical="center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 wrapText="1"/>
    </xf>
    <xf numFmtId="181" fontId="0" fillId="0" borderId="12" xfId="0" applyNumberFormat="1" applyBorder="1" applyAlignment="1">
      <alignment horizontal="center"/>
    </xf>
    <xf numFmtId="181" fontId="0" fillId="0" borderId="13" xfId="0" applyNumberFormat="1" applyBorder="1" applyAlignment="1">
      <alignment horizontal="center"/>
    </xf>
    <xf numFmtId="181" fontId="0" fillId="0" borderId="13" xfId="3" applyNumberFormat="1" applyFont="1" applyFill="1" applyBorder="1" applyAlignment="1">
      <alignment horizontal="center"/>
    </xf>
    <xf numFmtId="178" fontId="0" fillId="0" borderId="14" xfId="2" applyNumberFormat="1" applyFont="1" applyFill="1" applyBorder="1" applyAlignment="1">
      <alignment horizontal="center"/>
    </xf>
    <xf numFmtId="178" fontId="0" fillId="0" borderId="17" xfId="2" applyNumberFormat="1" applyFont="1" applyFill="1" applyBorder="1" applyAlignment="1">
      <alignment horizontal="center"/>
    </xf>
    <xf numFmtId="178" fontId="0" fillId="0" borderId="18" xfId="2" applyNumberFormat="1" applyFont="1" applyFill="1" applyBorder="1" applyAlignment="1">
      <alignment horizontal="center"/>
    </xf>
    <xf numFmtId="178" fontId="0" fillId="0" borderId="19" xfId="2" applyNumberFormat="1" applyFont="1" applyFill="1" applyBorder="1" applyAlignment="1">
      <alignment horizontal="center"/>
    </xf>
    <xf numFmtId="0" fontId="0" fillId="0" borderId="52" xfId="0" applyBorder="1" applyAlignment="1">
      <alignment vertical="center"/>
    </xf>
    <xf numFmtId="181" fontId="0" fillId="0" borderId="71" xfId="0" applyNumberFormat="1" applyBorder="1"/>
    <xf numFmtId="181" fontId="0" fillId="0" borderId="72" xfId="0" applyNumberFormat="1" applyBorder="1"/>
    <xf numFmtId="181" fontId="0" fillId="0" borderId="73" xfId="0" applyNumberFormat="1" applyBorder="1"/>
    <xf numFmtId="181" fontId="0" fillId="0" borderId="76" xfId="0" applyNumberFormat="1" applyBorder="1"/>
    <xf numFmtId="181" fontId="0" fillId="0" borderId="81" xfId="0" applyNumberFormat="1" applyBorder="1"/>
    <xf numFmtId="0" fontId="2" fillId="0" borderId="41" xfId="0" applyFont="1" applyBorder="1" applyAlignment="1">
      <alignment horizontal="center" vertical="center" wrapText="1"/>
    </xf>
    <xf numFmtId="166" fontId="2" fillId="2" borderId="22" xfId="0" applyNumberFormat="1" applyFont="1" applyFill="1" applyBorder="1"/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2" fillId="0" borderId="48" xfId="0" applyFont="1" applyBorder="1" applyAlignment="1">
      <alignment horizontal="center" vertical="center" wrapText="1"/>
    </xf>
    <xf numFmtId="0" fontId="0" fillId="0" borderId="82" xfId="0" applyBorder="1"/>
    <xf numFmtId="181" fontId="0" fillId="0" borderId="82" xfId="0" applyNumberFormat="1" applyBorder="1"/>
    <xf numFmtId="0" fontId="0" fillId="0" borderId="89" xfId="0" applyBorder="1"/>
    <xf numFmtId="181" fontId="0" fillId="0" borderId="75" xfId="0" applyNumberFormat="1" applyBorder="1"/>
    <xf numFmtId="167" fontId="2" fillId="2" borderId="12" xfId="0" applyNumberFormat="1" applyFont="1" applyFill="1" applyBorder="1"/>
    <xf numFmtId="167" fontId="2" fillId="2" borderId="13" xfId="0" applyNumberFormat="1" applyFont="1" applyFill="1" applyBorder="1"/>
    <xf numFmtId="167" fontId="2" fillId="2" borderId="11" xfId="0" applyNumberFormat="1" applyFont="1" applyFill="1" applyBorder="1"/>
    <xf numFmtId="167" fontId="0" fillId="0" borderId="11" xfId="0" applyNumberFormat="1" applyBorder="1"/>
    <xf numFmtId="167" fontId="3" fillId="2" borderId="15" xfId="0" applyNumberFormat="1" applyFont="1" applyFill="1" applyBorder="1"/>
    <xf numFmtId="167" fontId="3" fillId="2" borderId="11" xfId="0" applyNumberFormat="1" applyFont="1" applyFill="1" applyBorder="1"/>
    <xf numFmtId="167" fontId="3" fillId="2" borderId="17" xfId="0" applyNumberFormat="1" applyFont="1" applyFill="1" applyBorder="1"/>
    <xf numFmtId="167" fontId="3" fillId="2" borderId="18" xfId="0" applyNumberFormat="1" applyFont="1" applyFill="1" applyBorder="1"/>
    <xf numFmtId="181" fontId="14" fillId="0" borderId="0" xfId="0" applyNumberFormat="1" applyFont="1"/>
    <xf numFmtId="178" fontId="7" fillId="7" borderId="11" xfId="2" applyNumberFormat="1" applyFont="1" applyFill="1" applyBorder="1" applyAlignment="1">
      <alignment horizontal="center"/>
    </xf>
    <xf numFmtId="181" fontId="0" fillId="0" borderId="31" xfId="3" applyNumberFormat="1" applyFont="1" applyFill="1" applyBorder="1"/>
    <xf numFmtId="178" fontId="0" fillId="7" borderId="63" xfId="2" applyNumberFormat="1" applyFont="1" applyFill="1" applyBorder="1" applyAlignment="1">
      <alignment horizontal="center"/>
    </xf>
    <xf numFmtId="181" fontId="0" fillId="0" borderId="41" xfId="0" applyNumberFormat="1" applyBorder="1"/>
    <xf numFmtId="0" fontId="2" fillId="0" borderId="50" xfId="0" applyFont="1" applyBorder="1" applyAlignment="1">
      <alignment horizontal="center" vertical="center" wrapText="1"/>
    </xf>
    <xf numFmtId="166" fontId="2" fillId="2" borderId="40" xfId="0" applyNumberFormat="1" applyFont="1" applyFill="1" applyBorder="1"/>
    <xf numFmtId="166" fontId="2" fillId="2" borderId="12" xfId="0" applyNumberFormat="1" applyFont="1" applyFill="1" applyBorder="1"/>
    <xf numFmtId="175" fontId="2" fillId="2" borderId="13" xfId="0" applyNumberFormat="1" applyFont="1" applyFill="1" applyBorder="1"/>
    <xf numFmtId="43" fontId="0" fillId="0" borderId="0" xfId="0" applyNumberFormat="1"/>
    <xf numFmtId="181" fontId="0" fillId="0" borderId="99" xfId="0" applyNumberFormat="1" applyBorder="1"/>
    <xf numFmtId="181" fontId="0" fillId="0" borderId="100" xfId="0" applyNumberFormat="1" applyBorder="1"/>
    <xf numFmtId="181" fontId="0" fillId="0" borderId="101" xfId="0" applyNumberFormat="1" applyBorder="1"/>
    <xf numFmtId="167" fontId="0" fillId="7" borderId="23" xfId="0" applyNumberFormat="1" applyFill="1" applyBorder="1" applyAlignment="1">
      <alignment horizontal="center"/>
    </xf>
    <xf numFmtId="169" fontId="2" fillId="0" borderId="40" xfId="0" applyNumberFormat="1" applyFont="1" applyBorder="1" applyAlignment="1">
      <alignment horizontal="center"/>
    </xf>
    <xf numFmtId="166" fontId="2" fillId="0" borderId="39" xfId="0" applyNumberFormat="1" applyFont="1" applyBorder="1"/>
    <xf numFmtId="166" fontId="2" fillId="0" borderId="25" xfId="0" applyNumberFormat="1" applyFont="1" applyBorder="1"/>
    <xf numFmtId="169" fontId="2" fillId="0" borderId="46" xfId="0" applyNumberFormat="1" applyFont="1" applyBorder="1" applyAlignment="1">
      <alignment horizontal="center"/>
    </xf>
    <xf numFmtId="169" fontId="2" fillId="0" borderId="26" xfId="0" applyNumberFormat="1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169" fontId="2" fillId="0" borderId="75" xfId="0" applyNumberFormat="1" applyFont="1" applyBorder="1" applyAlignment="1">
      <alignment horizontal="center"/>
    </xf>
    <xf numFmtId="169" fontId="2" fillId="0" borderId="76" xfId="0" applyNumberFormat="1" applyFont="1" applyBorder="1" applyAlignment="1">
      <alignment horizontal="center"/>
    </xf>
    <xf numFmtId="169" fontId="2" fillId="0" borderId="77" xfId="0" applyNumberFormat="1" applyFont="1" applyBorder="1" applyAlignment="1">
      <alignment horizontal="center"/>
    </xf>
    <xf numFmtId="169" fontId="2" fillId="0" borderId="41" xfId="0" applyNumberFormat="1" applyFont="1" applyBorder="1" applyAlignment="1">
      <alignment horizontal="center"/>
    </xf>
    <xf numFmtId="166" fontId="7" fillId="11" borderId="63" xfId="0" applyNumberFormat="1" applyFont="1" applyFill="1" applyBorder="1"/>
    <xf numFmtId="0" fontId="5" fillId="0" borderId="52" xfId="0" applyFont="1" applyBorder="1" applyAlignment="1">
      <alignment horizontal="center"/>
    </xf>
    <xf numFmtId="166" fontId="2" fillId="0" borderId="93" xfId="0" applyNumberFormat="1" applyFont="1" applyBorder="1"/>
    <xf numFmtId="166" fontId="2" fillId="0" borderId="72" xfId="0" applyNumberFormat="1" applyFont="1" applyBorder="1"/>
    <xf numFmtId="166" fontId="2" fillId="0" borderId="73" xfId="0" applyNumberFormat="1" applyFont="1" applyBorder="1"/>
    <xf numFmtId="173" fontId="2" fillId="0" borderId="15" xfId="0" applyNumberFormat="1" applyFont="1" applyBorder="1"/>
    <xf numFmtId="173" fontId="2" fillId="0" borderId="17" xfId="0" applyNumberFormat="1" applyFont="1" applyBorder="1"/>
    <xf numFmtId="0" fontId="8" fillId="0" borderId="35" xfId="0" applyFont="1" applyBorder="1" applyAlignment="1">
      <alignment horizontal="center"/>
    </xf>
    <xf numFmtId="173" fontId="2" fillId="0" borderId="44" xfId="0" applyNumberFormat="1" applyFont="1" applyBorder="1"/>
    <xf numFmtId="173" fontId="2" fillId="0" borderId="12" xfId="0" applyNumberFormat="1" applyFont="1" applyBorder="1"/>
    <xf numFmtId="167" fontId="0" fillId="0" borderId="13" xfId="0" applyNumberFormat="1" applyBorder="1"/>
    <xf numFmtId="166" fontId="2" fillId="2" borderId="23" xfId="0" applyNumberFormat="1" applyFont="1" applyFill="1" applyBorder="1"/>
    <xf numFmtId="166" fontId="2" fillId="2" borderId="24" xfId="0" applyNumberFormat="1" applyFont="1" applyFill="1" applyBorder="1"/>
    <xf numFmtId="166" fontId="7" fillId="11" borderId="35" xfId="0" applyNumberFormat="1" applyFont="1" applyFill="1" applyBorder="1"/>
    <xf numFmtId="166" fontId="2" fillId="2" borderId="25" xfId="0" applyNumberFormat="1" applyFont="1" applyFill="1" applyBorder="1"/>
    <xf numFmtId="166" fontId="2" fillId="2" borderId="61" xfId="0" applyNumberFormat="1" applyFont="1" applyFill="1" applyBorder="1"/>
    <xf numFmtId="167" fontId="2" fillId="0" borderId="61" xfId="0" applyNumberFormat="1" applyFont="1" applyBorder="1" applyAlignment="1">
      <alignment horizontal="center"/>
    </xf>
    <xf numFmtId="167" fontId="2" fillId="0" borderId="61" xfId="0" applyNumberFormat="1" applyFont="1" applyBorder="1"/>
    <xf numFmtId="2" fontId="7" fillId="7" borderId="11" xfId="0" applyNumberFormat="1" applyFont="1" applyFill="1" applyBorder="1" applyAlignment="1">
      <alignment horizontal="center"/>
    </xf>
    <xf numFmtId="178" fontId="7" fillId="7" borderId="28" xfId="2" applyNumberFormat="1" applyFont="1" applyFill="1" applyBorder="1" applyAlignment="1">
      <alignment horizontal="center"/>
    </xf>
    <xf numFmtId="167" fontId="7" fillId="0" borderId="6" xfId="0" applyNumberFormat="1" applyFont="1" applyBorder="1"/>
    <xf numFmtId="173" fontId="7" fillId="0" borderId="6" xfId="0" applyNumberFormat="1" applyFont="1" applyBorder="1"/>
    <xf numFmtId="167" fontId="7" fillId="11" borderId="6" xfId="0" applyNumberFormat="1" applyFont="1" applyFill="1" applyBorder="1"/>
    <xf numFmtId="42" fontId="7" fillId="0" borderId="6" xfId="8" applyFont="1" applyBorder="1"/>
    <xf numFmtId="0" fontId="5" fillId="0" borderId="48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167" fontId="2" fillId="0" borderId="23" xfId="0" applyNumberFormat="1" applyFont="1" applyBorder="1" applyAlignment="1">
      <alignment horizontal="center"/>
    </xf>
    <xf numFmtId="167" fontId="2" fillId="0" borderId="24" xfId="0" applyNumberFormat="1" applyFont="1" applyBorder="1" applyAlignment="1">
      <alignment horizontal="center"/>
    </xf>
    <xf numFmtId="0" fontId="3" fillId="0" borderId="24" xfId="0" applyFont="1" applyBorder="1"/>
    <xf numFmtId="166" fontId="2" fillId="0" borderId="17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9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170" fontId="2" fillId="0" borderId="0" xfId="0" applyNumberFormat="1" applyFont="1" applyAlignment="1">
      <alignment horizontal="center"/>
    </xf>
    <xf numFmtId="166" fontId="2" fillId="0" borderId="6" xfId="0" applyNumberFormat="1" applyFont="1" applyBorder="1" applyAlignment="1">
      <alignment horizontal="center"/>
    </xf>
    <xf numFmtId="0" fontId="3" fillId="0" borderId="6" xfId="0" applyFont="1" applyBorder="1"/>
    <xf numFmtId="0" fontId="5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47" xfId="0" applyFont="1" applyBorder="1"/>
    <xf numFmtId="0" fontId="0" fillId="0" borderId="6" xfId="0" applyBorder="1" applyAlignment="1">
      <alignment horizontal="center"/>
    </xf>
    <xf numFmtId="0" fontId="2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/>
    </xf>
    <xf numFmtId="0" fontId="8" fillId="0" borderId="70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4" fillId="0" borderId="14" xfId="5" applyFont="1" applyBorder="1" applyAlignment="1">
      <alignment horizontal="center" vertical="center"/>
    </xf>
    <xf numFmtId="0" fontId="4" fillId="0" borderId="19" xfId="5" applyFont="1" applyBorder="1" applyAlignment="1">
      <alignment horizontal="center" vertical="center"/>
    </xf>
    <xf numFmtId="0" fontId="0" fillId="0" borderId="83" xfId="0" applyBorder="1" applyAlignment="1">
      <alignment horizontal="center"/>
    </xf>
    <xf numFmtId="0" fontId="0" fillId="0" borderId="27" xfId="0" applyBorder="1" applyAlignment="1">
      <alignment horizontal="center"/>
    </xf>
    <xf numFmtId="0" fontId="4" fillId="0" borderId="12" xfId="5" applyFont="1" applyBorder="1" applyAlignment="1">
      <alignment horizontal="center" vertical="center"/>
    </xf>
    <xf numFmtId="0" fontId="4" fillId="0" borderId="17" xfId="5" applyFont="1" applyBorder="1" applyAlignment="1">
      <alignment horizontal="center" vertical="center"/>
    </xf>
    <xf numFmtId="0" fontId="8" fillId="0" borderId="89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4" fillId="0" borderId="62" xfId="5" applyFont="1" applyBorder="1" applyAlignment="1">
      <alignment horizontal="center"/>
    </xf>
    <xf numFmtId="0" fontId="4" fillId="0" borderId="52" xfId="5" applyFont="1" applyBorder="1" applyAlignment="1">
      <alignment horizontal="center"/>
    </xf>
    <xf numFmtId="0" fontId="4" fillId="0" borderId="61" xfId="5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15" xfId="0" applyBorder="1" applyAlignment="1">
      <alignment horizontal="center"/>
    </xf>
    <xf numFmtId="0" fontId="12" fillId="0" borderId="62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61" xfId="0" applyFont="1" applyBorder="1" applyAlignment="1">
      <alignment horizontal="center"/>
    </xf>
    <xf numFmtId="0" fontId="7" fillId="0" borderId="62" xfId="0" applyFont="1" applyBorder="1" applyAlignment="1">
      <alignment horizontal="center"/>
    </xf>
    <xf numFmtId="0" fontId="7" fillId="0" borderId="52" xfId="0" applyFont="1" applyBorder="1" applyAlignment="1">
      <alignment horizontal="center"/>
    </xf>
    <xf numFmtId="0" fontId="7" fillId="0" borderId="61" xfId="0" applyFont="1" applyBorder="1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69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2" fillId="0" borderId="6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8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49" xfId="0" applyFont="1" applyBorder="1" applyAlignment="1">
      <alignment horizontal="center"/>
    </xf>
  </cellXfs>
  <cellStyles count="9">
    <cellStyle name="Comma" xfId="2" builtinId="3"/>
    <cellStyle name="Currency" xfId="3" builtinId="4"/>
    <cellStyle name="Currency [0]" xfId="8" builtinId="7"/>
    <cellStyle name="Hyperlink" xfId="4" builtinId="8"/>
    <cellStyle name="Millares [0] 2" xfId="6" xr:uid="{00000000-0005-0000-0000-000002000000}"/>
    <cellStyle name="Millares 2" xfId="7" xr:uid="{00000000-0005-0000-0000-000003000000}"/>
    <cellStyle name="Normal" xfId="0" builtinId="0"/>
    <cellStyle name="Normal 2" xfId="5" xr:uid="{00000000-0005-0000-0000-000006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Fluctuacion Corriente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'G. Corriente'!$I$7:$I$37</c:f>
              <c:numCache>
                <c:formatCode>0.0</c:formatCode>
                <c:ptCount val="31"/>
                <c:pt idx="0">
                  <c:v>26.469999999999345</c:v>
                </c:pt>
                <c:pt idx="1">
                  <c:v>26.65099999999984</c:v>
                </c:pt>
                <c:pt idx="2">
                  <c:v>60.859999999999673</c:v>
                </c:pt>
                <c:pt idx="3">
                  <c:v>-85.759999999999309</c:v>
                </c:pt>
                <c:pt idx="4">
                  <c:v>-89.320999999999913</c:v>
                </c:pt>
                <c:pt idx="5">
                  <c:v>-55.769000000000233</c:v>
                </c:pt>
                <c:pt idx="6">
                  <c:v>6.5090000000000146</c:v>
                </c:pt>
                <c:pt idx="7">
                  <c:v>204.03000000000065</c:v>
                </c:pt>
                <c:pt idx="8">
                  <c:v>-61.78899999999885</c:v>
                </c:pt>
                <c:pt idx="9">
                  <c:v>-30.730999999999767</c:v>
                </c:pt>
                <c:pt idx="10">
                  <c:v>2.9309999999995853</c:v>
                </c:pt>
                <c:pt idx="11">
                  <c:v>2.4689999999991414</c:v>
                </c:pt>
                <c:pt idx="12">
                  <c:v>427.34000000000015</c:v>
                </c:pt>
                <c:pt idx="13">
                  <c:v>-463.07000000000062</c:v>
                </c:pt>
                <c:pt idx="14">
                  <c:v>323.82999999999902</c:v>
                </c:pt>
                <c:pt idx="15">
                  <c:v>-229.65900000000056</c:v>
                </c:pt>
                <c:pt idx="16">
                  <c:v>-3393.58</c:v>
                </c:pt>
                <c:pt idx="17">
                  <c:v>3293.2499999999991</c:v>
                </c:pt>
                <c:pt idx="18">
                  <c:v>37.489000000000487</c:v>
                </c:pt>
                <c:pt idx="19">
                  <c:v>-15.338999999999942</c:v>
                </c:pt>
                <c:pt idx="20">
                  <c:v>58.75899999999956</c:v>
                </c:pt>
                <c:pt idx="21">
                  <c:v>-45.050000000000182</c:v>
                </c:pt>
                <c:pt idx="22">
                  <c:v>16.809999999998581</c:v>
                </c:pt>
                <c:pt idx="23">
                  <c:v>-28.049000000000888</c:v>
                </c:pt>
                <c:pt idx="24">
                  <c:v>80.070000000000618</c:v>
                </c:pt>
                <c:pt idx="25">
                  <c:v>-100.51000000000113</c:v>
                </c:pt>
                <c:pt idx="26">
                  <c:v>-3411.4010000000007</c:v>
                </c:pt>
                <c:pt idx="27">
                  <c:v>3374.2500000000009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1A-4C1F-9079-B2B02725B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5680"/>
        <c:axId val="5535360"/>
      </c:lineChart>
      <c:catAx>
        <c:axId val="5515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35360"/>
        <c:crosses val="autoZero"/>
        <c:auto val="1"/>
        <c:lblAlgn val="ctr"/>
        <c:lblOffset val="100"/>
        <c:noMultiLvlLbl val="0"/>
      </c:catAx>
      <c:valAx>
        <c:axId val="553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1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Fluctuacion Bioacem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rgbClr val="FFFF00">
                  <a:alpha val="98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val>
            <c:numRef>
              <c:f>Bioacem!$I$7:$I$37</c:f>
              <c:numCache>
                <c:formatCode>0.0</c:formatCode>
                <c:ptCount val="31"/>
                <c:pt idx="0">
                  <c:v>-0.45299999999951979</c:v>
                </c:pt>
                <c:pt idx="1">
                  <c:v>1755.616</c:v>
                </c:pt>
                <c:pt idx="2">
                  <c:v>-1548.4599999999991</c:v>
                </c:pt>
                <c:pt idx="3">
                  <c:v>-60.913000000000466</c:v>
                </c:pt>
                <c:pt idx="4">
                  <c:v>-5.5900000000001455</c:v>
                </c:pt>
                <c:pt idx="5">
                  <c:v>-254.67400000000271</c:v>
                </c:pt>
                <c:pt idx="6">
                  <c:v>361.58200000000033</c:v>
                </c:pt>
                <c:pt idx="7">
                  <c:v>211.89999999999964</c:v>
                </c:pt>
                <c:pt idx="8">
                  <c:v>-176.66399999999976</c:v>
                </c:pt>
                <c:pt idx="9">
                  <c:v>9.1779999999998836</c:v>
                </c:pt>
                <c:pt idx="10">
                  <c:v>-10.277999999998428</c:v>
                </c:pt>
                <c:pt idx="11">
                  <c:v>44.276999999998225</c:v>
                </c:pt>
                <c:pt idx="12">
                  <c:v>11.639999999999418</c:v>
                </c:pt>
                <c:pt idx="13">
                  <c:v>-74.106999999999971</c:v>
                </c:pt>
                <c:pt idx="14">
                  <c:v>-3986.489999999998</c:v>
                </c:pt>
                <c:pt idx="15">
                  <c:v>4002.4409999999998</c:v>
                </c:pt>
                <c:pt idx="16">
                  <c:v>-3466.0509999999995</c:v>
                </c:pt>
                <c:pt idx="17">
                  <c:v>3579.33</c:v>
                </c:pt>
                <c:pt idx="18">
                  <c:v>5.4059999999990396</c:v>
                </c:pt>
                <c:pt idx="19">
                  <c:v>71.997999999999593</c:v>
                </c:pt>
                <c:pt idx="20">
                  <c:v>-75.097999999999956</c:v>
                </c:pt>
                <c:pt idx="21">
                  <c:v>29.611000000000786</c:v>
                </c:pt>
                <c:pt idx="22">
                  <c:v>-35.876000000002023</c:v>
                </c:pt>
                <c:pt idx="23">
                  <c:v>-17.009000000000015</c:v>
                </c:pt>
                <c:pt idx="24">
                  <c:v>108.75800000000163</c:v>
                </c:pt>
                <c:pt idx="25">
                  <c:v>-56.21900000000096</c:v>
                </c:pt>
                <c:pt idx="26">
                  <c:v>-6234.3950000000004</c:v>
                </c:pt>
                <c:pt idx="27">
                  <c:v>6291.4429999999993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74-48F8-A58B-FD50C21A8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715184"/>
        <c:axId val="113661904"/>
      </c:lineChart>
      <c:catAx>
        <c:axId val="113715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661904"/>
        <c:crosses val="autoZero"/>
        <c:auto val="1"/>
        <c:lblAlgn val="ctr"/>
        <c:lblOffset val="100"/>
        <c:noMultiLvlLbl val="0"/>
      </c:catAx>
      <c:valAx>
        <c:axId val="11366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71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Fluctuacion Extra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'G. Extra'!$I$7:$I$37</c:f>
              <c:numCache>
                <c:formatCode>0.0</c:formatCode>
                <c:ptCount val="31"/>
                <c:pt idx="0">
                  <c:v>-8.5389999999997599</c:v>
                </c:pt>
                <c:pt idx="1">
                  <c:v>32.449000000000069</c:v>
                </c:pt>
                <c:pt idx="2">
                  <c:v>30.039999999999964</c:v>
                </c:pt>
                <c:pt idx="3">
                  <c:v>-82.67999999999995</c:v>
                </c:pt>
                <c:pt idx="4">
                  <c:v>-34.108999999999924</c:v>
                </c:pt>
                <c:pt idx="5">
                  <c:v>83.699000000000069</c:v>
                </c:pt>
                <c:pt idx="6">
                  <c:v>-10.020000000000209</c:v>
                </c:pt>
                <c:pt idx="7">
                  <c:v>32.269999999999982</c:v>
                </c:pt>
                <c:pt idx="8">
                  <c:v>23.710000000000036</c:v>
                </c:pt>
                <c:pt idx="9">
                  <c:v>-58.2199999999998</c:v>
                </c:pt>
                <c:pt idx="10">
                  <c:v>-18.139000000000124</c:v>
                </c:pt>
                <c:pt idx="11">
                  <c:v>42.719000000000051</c:v>
                </c:pt>
                <c:pt idx="12">
                  <c:v>-24.319000000000187</c:v>
                </c:pt>
                <c:pt idx="13">
                  <c:v>29.470000000000255</c:v>
                </c:pt>
                <c:pt idx="14">
                  <c:v>-21.931000000000267</c:v>
                </c:pt>
                <c:pt idx="15">
                  <c:v>44.830000000000155</c:v>
                </c:pt>
                <c:pt idx="16">
                  <c:v>-1871.059</c:v>
                </c:pt>
                <c:pt idx="17">
                  <c:v>1841.519</c:v>
                </c:pt>
                <c:pt idx="18">
                  <c:v>-16.059000000000196</c:v>
                </c:pt>
                <c:pt idx="19">
                  <c:v>77.009999999999991</c:v>
                </c:pt>
                <c:pt idx="20">
                  <c:v>-72.850000000000023</c:v>
                </c:pt>
                <c:pt idx="21">
                  <c:v>15.349000000000046</c:v>
                </c:pt>
                <c:pt idx="22">
                  <c:v>-21.828999999999951</c:v>
                </c:pt>
                <c:pt idx="23">
                  <c:v>26.199000000000069</c:v>
                </c:pt>
                <c:pt idx="24">
                  <c:v>-37.3900000000001</c:v>
                </c:pt>
                <c:pt idx="25">
                  <c:v>-1.5199999999999818</c:v>
                </c:pt>
                <c:pt idx="26">
                  <c:v>19.849999999999909</c:v>
                </c:pt>
                <c:pt idx="27">
                  <c:v>-41.519999999999982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A1-4040-A7EF-D67814732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665264"/>
        <c:axId val="113666224"/>
      </c:lineChart>
      <c:catAx>
        <c:axId val="113665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666224"/>
        <c:crosses val="autoZero"/>
        <c:auto val="1"/>
        <c:lblAlgn val="ctr"/>
        <c:lblOffset val="100"/>
        <c:noMultiLvlLbl val="0"/>
      </c:catAx>
      <c:valAx>
        <c:axId val="11366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66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118534</xdr:colOff>
      <xdr:row>6</xdr:row>
      <xdr:rowOff>74506</xdr:rowOff>
    </xdr:from>
    <xdr:to>
      <xdr:col>21</xdr:col>
      <xdr:colOff>338667</xdr:colOff>
      <xdr:row>32</xdr:row>
      <xdr:rowOff>84666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70060FC-C3D1-BD3F-947C-9DADFD36FE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144780</xdr:colOff>
      <xdr:row>7</xdr:row>
      <xdr:rowOff>144780</xdr:rowOff>
    </xdr:from>
    <xdr:to>
      <xdr:col>20</xdr:col>
      <xdr:colOff>236220</xdr:colOff>
      <xdr:row>31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7E330E-8F93-78AD-F66C-3B00DA348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160020</xdr:colOff>
      <xdr:row>6</xdr:row>
      <xdr:rowOff>76200</xdr:rowOff>
    </xdr:from>
    <xdr:to>
      <xdr:col>19</xdr:col>
      <xdr:colOff>594360</xdr:colOff>
      <xdr:row>28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62C246-FA0C-D232-28C2-973606826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239cc9973191649/EMPRESA/EDSJAP/LA%20FLORIDA/2026/CIERRE/BALANCE/Balance%20Operativo%20Ene-2026.xlsx" TargetMode="External"/><Relationship Id="rId1" Type="http://schemas.openxmlformats.org/officeDocument/2006/relationships/externalLinkPath" Target="Balance%20Operativo%20Ene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2025/CIERRE/BALANCE/Balance%20Operativo%20Dic-2025.xlsx" TargetMode="External"/><Relationship Id="rId2" Type="http://schemas.openxmlformats.org/officeDocument/2006/relationships/externalLinkPath" Target="https://d.docs.live.net/0239cc9973191649/EMPRESA/EDSJAP/LA%20FLORIDA/2025/CIERRE/BALANCE/Balance%20Operativo%20Dic-2025.xlsx" TargetMode="External"/><Relationship Id="rId1" Type="http://schemas.openxmlformats.org/officeDocument/2006/relationships/externalLinkPath" Target="/0239cc9973191649/EMPRESA/EDSJAP/LA%20FLORIDA/2025/CIERRE/BALANCE/Balance%20Operativo%20Dic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. Corriente"/>
      <sheetName val="Bioacem"/>
      <sheetName val="G. Extra"/>
      <sheetName val="Cierre"/>
      <sheetName val="Vtas efectivo"/>
      <sheetName val="Facturas"/>
      <sheetName val="Urea"/>
      <sheetName val="Fluctuaciones"/>
      <sheetName val="Inventario"/>
      <sheetName val="Promotor"/>
      <sheetName val="Presupuesto"/>
      <sheetName val="Sicom"/>
      <sheetName val="Carbono"/>
      <sheetName val="Pedidos"/>
    </sheetNames>
    <sheetDataSet>
      <sheetData sheetId="0"/>
      <sheetData sheetId="1"/>
      <sheetData sheetId="2"/>
      <sheetData sheetId="3"/>
      <sheetData sheetId="4"/>
      <sheetData sheetId="5"/>
      <sheetData sheetId="6">
        <row r="34">
          <cell r="P34">
            <v>1100500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. Corriente"/>
      <sheetName val="Bioacem"/>
      <sheetName val="G. Extra"/>
      <sheetName val="Cierre"/>
      <sheetName val="Vtas efectivo"/>
      <sheetName val="Urea"/>
      <sheetName val="Facturas"/>
      <sheetName val="Fluctuaciones"/>
      <sheetName val="Promotor"/>
      <sheetName val="Presupuesto"/>
      <sheetName val="Sicom"/>
      <sheetName val="Inventario"/>
      <sheetName val="Carbono"/>
      <sheetName val="Pedidos"/>
    </sheetNames>
    <sheetDataSet>
      <sheetData sheetId="0">
        <row r="38">
          <cell r="E38">
            <v>133657.26</v>
          </cell>
        </row>
      </sheetData>
      <sheetData sheetId="1">
        <row r="38">
          <cell r="E38">
            <v>126765.00999999998</v>
          </cell>
        </row>
      </sheetData>
      <sheetData sheetId="2">
        <row r="38">
          <cell r="E38">
            <v>17064.77</v>
          </cell>
        </row>
      </sheetData>
      <sheetData sheetId="3">
        <row r="58">
          <cell r="H58"/>
        </row>
        <row r="59">
          <cell r="L59"/>
        </row>
      </sheetData>
      <sheetData sheetId="4"/>
      <sheetData sheetId="5"/>
      <sheetData sheetId="6"/>
      <sheetData sheetId="7"/>
      <sheetData sheetId="8"/>
      <sheetData sheetId="9">
        <row r="63">
          <cell r="N63">
            <v>277487.03999999992</v>
          </cell>
        </row>
      </sheetData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P59"/>
  <sheetViews>
    <sheetView zoomScale="130" zoomScaleNormal="130" workbookViewId="0">
      <selection activeCell="H35" sqref="H35"/>
    </sheetView>
  </sheetViews>
  <sheetFormatPr baseColWidth="10" defaultColWidth="10.83203125" defaultRowHeight="13" x14ac:dyDescent="0.15"/>
  <cols>
    <col min="2" max="2" width="3" bestFit="1" customWidth="1"/>
    <col min="3" max="3" width="3.6640625" bestFit="1" customWidth="1"/>
    <col min="10" max="10" width="11.6640625" bestFit="1" customWidth="1"/>
    <col min="11" max="11" width="15.5" bestFit="1" customWidth="1"/>
    <col min="13" max="13" width="13" bestFit="1" customWidth="1"/>
    <col min="21" max="21" width="16" bestFit="1" customWidth="1"/>
  </cols>
  <sheetData>
    <row r="3" spans="2:15" x14ac:dyDescent="0.15">
      <c r="D3" s="76" t="s">
        <v>39</v>
      </c>
      <c r="E3" s="76" t="s">
        <v>41</v>
      </c>
      <c r="F3" s="76" t="s">
        <v>42</v>
      </c>
      <c r="G3" s="76" t="s">
        <v>41</v>
      </c>
      <c r="H3" s="76" t="s">
        <v>42</v>
      </c>
      <c r="I3" s="76" t="s">
        <v>41</v>
      </c>
      <c r="J3" s="76" t="s">
        <v>42</v>
      </c>
      <c r="K3" s="76" t="s">
        <v>41</v>
      </c>
      <c r="L3" s="76" t="s">
        <v>42</v>
      </c>
      <c r="M3" s="76" t="s">
        <v>41</v>
      </c>
      <c r="N3" s="76" t="s">
        <v>42</v>
      </c>
    </row>
    <row r="4" spans="2:15" x14ac:dyDescent="0.15">
      <c r="D4" s="76" t="s">
        <v>40</v>
      </c>
      <c r="E4" s="76">
        <v>15590</v>
      </c>
      <c r="F4" s="83">
        <v>46054</v>
      </c>
      <c r="G4" s="76">
        <v>15190</v>
      </c>
      <c r="H4" s="83">
        <v>46058</v>
      </c>
      <c r="I4" s="76"/>
      <c r="J4" s="83"/>
      <c r="K4" s="76"/>
      <c r="L4" s="83"/>
      <c r="M4" s="76"/>
      <c r="N4" s="83"/>
    </row>
    <row r="5" spans="2:15" ht="14" thickBot="1" x14ac:dyDescent="0.2">
      <c r="N5" s="146"/>
    </row>
    <row r="6" spans="2:15" ht="14" thickBot="1" x14ac:dyDescent="0.2">
      <c r="B6" s="569" t="s">
        <v>1</v>
      </c>
      <c r="C6" s="570"/>
      <c r="D6" s="75" t="s">
        <v>2</v>
      </c>
      <c r="E6" s="94" t="s">
        <v>3</v>
      </c>
      <c r="F6" s="75" t="s">
        <v>4</v>
      </c>
      <c r="G6" s="75" t="s">
        <v>43</v>
      </c>
      <c r="H6" s="94" t="s">
        <v>5</v>
      </c>
      <c r="I6" s="75" t="s">
        <v>44</v>
      </c>
      <c r="J6" s="75" t="s">
        <v>45</v>
      </c>
      <c r="K6" s="136" t="s">
        <v>73</v>
      </c>
      <c r="O6" s="146"/>
    </row>
    <row r="7" spans="2:15" ht="14" thickBot="1" x14ac:dyDescent="0.2">
      <c r="B7" s="23">
        <v>1</v>
      </c>
      <c r="C7" s="24" t="s">
        <v>13</v>
      </c>
      <c r="D7" s="508">
        <v>7703.17</v>
      </c>
      <c r="E7" s="248">
        <v>4423.2299999999996</v>
      </c>
      <c r="F7" s="119">
        <f>+Facturas!D4+Facturas!D5</f>
        <v>0</v>
      </c>
      <c r="G7" s="162">
        <f>+D7+F7-E7</f>
        <v>3279.9400000000005</v>
      </c>
      <c r="H7" s="405">
        <v>3306.41</v>
      </c>
      <c r="I7" s="162">
        <f>IF(E7=0,0,+H7-G7)</f>
        <v>26.469999999999345</v>
      </c>
      <c r="J7" s="162">
        <f>+I7</f>
        <v>26.469999999999345</v>
      </c>
      <c r="K7" s="140">
        <f>+J7*$E$4</f>
        <v>412667.2999999898</v>
      </c>
      <c r="L7" s="233"/>
    </row>
    <row r="8" spans="2:15" x14ac:dyDescent="0.15">
      <c r="B8" s="18">
        <v>2</v>
      </c>
      <c r="C8" s="25" t="s">
        <v>14</v>
      </c>
      <c r="D8" s="285">
        <f>+H7</f>
        <v>3306.41</v>
      </c>
      <c r="E8" s="142">
        <v>2776.75</v>
      </c>
      <c r="F8" s="78">
        <f>+Facturas!D6+Facturas!D7</f>
        <v>5800</v>
      </c>
      <c r="G8" s="107">
        <f t="shared" ref="G8:G36" si="0">+D8+F8-E8</f>
        <v>6329.66</v>
      </c>
      <c r="H8" s="386">
        <v>6356.3109999999997</v>
      </c>
      <c r="I8" s="107">
        <f t="shared" ref="I8:I20" si="1">IF(E8=0,0,+H8-G8)</f>
        <v>26.65099999999984</v>
      </c>
      <c r="J8" s="107">
        <f>+J7+I8</f>
        <v>53.120999999999185</v>
      </c>
      <c r="K8" s="138">
        <f t="shared" ref="K8:K10" si="2">+J8*$E$4</f>
        <v>828156.38999998732</v>
      </c>
      <c r="L8" s="28"/>
      <c r="N8" s="146"/>
    </row>
    <row r="9" spans="2:15" x14ac:dyDescent="0.15">
      <c r="B9" s="18">
        <v>3</v>
      </c>
      <c r="C9" s="25" t="s">
        <v>9</v>
      </c>
      <c r="D9" s="285">
        <f t="shared" ref="D9:D37" si="3">+H8</f>
        <v>6356.3109999999997</v>
      </c>
      <c r="E9" s="142">
        <v>2808.95</v>
      </c>
      <c r="F9" s="78">
        <f>+Facturas!D8+Facturas!D9</f>
        <v>4000</v>
      </c>
      <c r="G9" s="107">
        <f t="shared" si="0"/>
        <v>7547.3609999999999</v>
      </c>
      <c r="H9" s="386">
        <v>7608.2209999999995</v>
      </c>
      <c r="I9" s="107">
        <f t="shared" si="1"/>
        <v>60.859999999999673</v>
      </c>
      <c r="J9" s="107">
        <f>+J8+I9</f>
        <v>113.98099999999886</v>
      </c>
      <c r="K9" s="138">
        <f t="shared" si="2"/>
        <v>1776963.7899999821</v>
      </c>
      <c r="O9" s="146"/>
    </row>
    <row r="10" spans="2:15" x14ac:dyDescent="0.15">
      <c r="B10" s="18">
        <v>4</v>
      </c>
      <c r="C10" s="25" t="s">
        <v>9</v>
      </c>
      <c r="D10" s="285">
        <f t="shared" si="3"/>
        <v>7608.2209999999995</v>
      </c>
      <c r="E10" s="142">
        <v>2858.38</v>
      </c>
      <c r="F10" s="78">
        <f>+Facturas!D10+Facturas!D11</f>
        <v>2800</v>
      </c>
      <c r="G10" s="107">
        <f t="shared" si="0"/>
        <v>7549.8409999999994</v>
      </c>
      <c r="H10" s="386">
        <v>7464.0810000000001</v>
      </c>
      <c r="I10" s="107">
        <f t="shared" si="1"/>
        <v>-85.759999999999309</v>
      </c>
      <c r="J10" s="107">
        <f t="shared" ref="J10:J21" si="4">+J9+I10</f>
        <v>28.220999999999549</v>
      </c>
      <c r="K10" s="138">
        <f t="shared" si="2"/>
        <v>439965.38999999297</v>
      </c>
      <c r="L10" s="146"/>
    </row>
    <row r="11" spans="2:15" x14ac:dyDescent="0.15">
      <c r="B11" s="18">
        <v>5</v>
      </c>
      <c r="C11" s="25" t="s">
        <v>10</v>
      </c>
      <c r="D11" s="285">
        <f t="shared" si="3"/>
        <v>7464.0810000000001</v>
      </c>
      <c r="E11" s="142">
        <v>1395.91</v>
      </c>
      <c r="F11" s="78">
        <f>+Facturas!D12+Facturas!D13</f>
        <v>2800</v>
      </c>
      <c r="G11" s="107">
        <f t="shared" si="0"/>
        <v>8868.1710000000003</v>
      </c>
      <c r="H11" s="386">
        <v>8778.85</v>
      </c>
      <c r="I11" s="107">
        <f>IF(E11=0,0,+H11-G11)</f>
        <v>-89.320999999999913</v>
      </c>
      <c r="J11" s="107">
        <f>+J10+I11</f>
        <v>-61.100000000000364</v>
      </c>
      <c r="K11" s="138">
        <f>+J11*$G$4</f>
        <v>-928109.00000000547</v>
      </c>
      <c r="L11" s="146"/>
      <c r="M11" s="28"/>
    </row>
    <row r="12" spans="2:15" x14ac:dyDescent="0.15">
      <c r="B12" s="18">
        <v>6</v>
      </c>
      <c r="C12" s="25" t="s">
        <v>11</v>
      </c>
      <c r="D12" s="285">
        <f t="shared" si="3"/>
        <v>8778.85</v>
      </c>
      <c r="E12" s="142">
        <v>3847.01</v>
      </c>
      <c r="F12" s="78">
        <f>+Facturas!D14+Facturas!D15</f>
        <v>4600</v>
      </c>
      <c r="G12" s="107">
        <f t="shared" si="0"/>
        <v>9531.84</v>
      </c>
      <c r="H12" s="386">
        <v>9476.0709999999999</v>
      </c>
      <c r="I12" s="107">
        <f t="shared" si="1"/>
        <v>-55.769000000000233</v>
      </c>
      <c r="J12" s="107">
        <f t="shared" si="4"/>
        <v>-116.8690000000006</v>
      </c>
      <c r="K12" s="138">
        <f t="shared" ref="K12:K37" si="5">+J12*$G$4</f>
        <v>-1775240.110000009</v>
      </c>
      <c r="L12" s="146"/>
    </row>
    <row r="13" spans="2:15" x14ac:dyDescent="0.15">
      <c r="B13" s="18">
        <v>7</v>
      </c>
      <c r="C13" s="25" t="s">
        <v>12</v>
      </c>
      <c r="D13" s="285">
        <f t="shared" si="3"/>
        <v>9476.0709999999999</v>
      </c>
      <c r="E13" s="142">
        <v>4825.95</v>
      </c>
      <c r="F13" s="78">
        <f>+Facturas!D16+Facturas!D17</f>
        <v>4600</v>
      </c>
      <c r="G13" s="107">
        <f t="shared" si="0"/>
        <v>9250.1209999999992</v>
      </c>
      <c r="H13" s="386">
        <v>9256.6299999999992</v>
      </c>
      <c r="I13" s="107">
        <f t="shared" si="1"/>
        <v>6.5090000000000146</v>
      </c>
      <c r="J13" s="107">
        <f t="shared" si="4"/>
        <v>-110.36000000000058</v>
      </c>
      <c r="K13" s="138">
        <f t="shared" si="5"/>
        <v>-1676368.4000000088</v>
      </c>
      <c r="L13" s="146"/>
    </row>
    <row r="14" spans="2:15" x14ac:dyDescent="0.15">
      <c r="B14" s="18">
        <v>8</v>
      </c>
      <c r="C14" s="25" t="s">
        <v>13</v>
      </c>
      <c r="D14" s="285">
        <f t="shared" si="3"/>
        <v>9256.6299999999992</v>
      </c>
      <c r="E14" s="142">
        <v>4423.63</v>
      </c>
      <c r="F14" s="78">
        <f>+Facturas!D18+Facturas!D19</f>
        <v>0</v>
      </c>
      <c r="G14" s="107">
        <f t="shared" si="0"/>
        <v>4832.9999999999991</v>
      </c>
      <c r="H14" s="386">
        <v>5037.03</v>
      </c>
      <c r="I14" s="107">
        <f t="shared" si="1"/>
        <v>204.03000000000065</v>
      </c>
      <c r="J14" s="107">
        <f t="shared" si="4"/>
        <v>93.670000000000073</v>
      </c>
      <c r="K14" s="138">
        <f t="shared" si="5"/>
        <v>1422847.3000000012</v>
      </c>
      <c r="L14" s="146"/>
    </row>
    <row r="15" spans="2:15" x14ac:dyDescent="0.15">
      <c r="B15" s="18">
        <v>9</v>
      </c>
      <c r="C15" s="25" t="s">
        <v>14</v>
      </c>
      <c r="D15" s="285">
        <f t="shared" si="3"/>
        <v>5037.03</v>
      </c>
      <c r="E15" s="142">
        <v>3218.93</v>
      </c>
      <c r="F15" s="78">
        <f>+Facturas!D20+Facturas!D21</f>
        <v>4600</v>
      </c>
      <c r="G15" s="107">
        <f>+D15+F15-E15</f>
        <v>6418.0999999999985</v>
      </c>
      <c r="H15" s="386">
        <v>6356.3109999999997</v>
      </c>
      <c r="I15" s="107">
        <f t="shared" si="1"/>
        <v>-61.78899999999885</v>
      </c>
      <c r="J15" s="107">
        <f t="shared" si="4"/>
        <v>31.881000000001222</v>
      </c>
      <c r="K15" s="138">
        <f t="shared" si="5"/>
        <v>484272.39000001858</v>
      </c>
      <c r="M15" s="268"/>
    </row>
    <row r="16" spans="2:15" x14ac:dyDescent="0.15">
      <c r="B16" s="18">
        <v>10</v>
      </c>
      <c r="C16" s="25" t="s">
        <v>9</v>
      </c>
      <c r="D16" s="285">
        <f t="shared" si="3"/>
        <v>6356.3109999999997</v>
      </c>
      <c r="E16" s="142">
        <v>3206.85</v>
      </c>
      <c r="F16" s="78">
        <f>+Facturas!D22+Facturas!D23</f>
        <v>3700</v>
      </c>
      <c r="G16" s="107">
        <f t="shared" si="0"/>
        <v>6849.4609999999993</v>
      </c>
      <c r="H16" s="386">
        <v>6818.73</v>
      </c>
      <c r="I16" s="107">
        <f t="shared" si="1"/>
        <v>-30.730999999999767</v>
      </c>
      <c r="J16" s="107">
        <f>+J15+I16</f>
        <v>1.1500000000014552</v>
      </c>
      <c r="K16" s="138">
        <f t="shared" si="5"/>
        <v>17468.500000022104</v>
      </c>
      <c r="M16" s="268"/>
    </row>
    <row r="17" spans="2:16" x14ac:dyDescent="0.15">
      <c r="B17" s="18">
        <v>11</v>
      </c>
      <c r="C17" s="25" t="s">
        <v>9</v>
      </c>
      <c r="D17" s="285">
        <f t="shared" si="3"/>
        <v>6818.73</v>
      </c>
      <c r="E17" s="142">
        <v>3318.89</v>
      </c>
      <c r="F17" s="78">
        <f>+Facturas!D24+Facturas!D25</f>
        <v>1800</v>
      </c>
      <c r="G17" s="107">
        <f t="shared" si="0"/>
        <v>5299.84</v>
      </c>
      <c r="H17" s="386">
        <v>5302.7709999999997</v>
      </c>
      <c r="I17" s="107">
        <f t="shared" si="1"/>
        <v>2.9309999999995853</v>
      </c>
      <c r="J17" s="107">
        <f t="shared" si="4"/>
        <v>4.0810000000010405</v>
      </c>
      <c r="K17" s="138">
        <f t="shared" si="5"/>
        <v>61990.390000015803</v>
      </c>
      <c r="M17" s="268"/>
    </row>
    <row r="18" spans="2:16" x14ac:dyDescent="0.15">
      <c r="B18" s="18">
        <v>12</v>
      </c>
      <c r="C18" s="25" t="s">
        <v>10</v>
      </c>
      <c r="D18" s="285">
        <f t="shared" si="3"/>
        <v>5302.7709999999997</v>
      </c>
      <c r="E18" s="142">
        <v>3262.23</v>
      </c>
      <c r="F18" s="78">
        <f>+Facturas!D26+Facturas!D27</f>
        <v>4000</v>
      </c>
      <c r="G18" s="107">
        <f t="shared" si="0"/>
        <v>6040.5410000000011</v>
      </c>
      <c r="H18" s="386">
        <v>6043.01</v>
      </c>
      <c r="I18" s="107">
        <f t="shared" si="1"/>
        <v>2.4689999999991414</v>
      </c>
      <c r="J18" s="107">
        <f t="shared" si="4"/>
        <v>6.5500000000001819</v>
      </c>
      <c r="K18" s="138">
        <f t="shared" si="5"/>
        <v>99494.500000002765</v>
      </c>
    </row>
    <row r="19" spans="2:16" x14ac:dyDescent="0.15">
      <c r="B19" s="18">
        <v>13</v>
      </c>
      <c r="C19" s="25" t="s">
        <v>11</v>
      </c>
      <c r="D19" s="285">
        <f t="shared" si="3"/>
        <v>6043.01</v>
      </c>
      <c r="E19" s="142">
        <v>3666.17</v>
      </c>
      <c r="F19" s="78">
        <f>+Facturas!D28+Facturas!D29</f>
        <v>4000</v>
      </c>
      <c r="G19" s="107">
        <f t="shared" si="0"/>
        <v>6376.84</v>
      </c>
      <c r="H19" s="386">
        <v>6804.18</v>
      </c>
      <c r="I19" s="107">
        <f t="shared" si="1"/>
        <v>427.34000000000015</v>
      </c>
      <c r="J19" s="107">
        <f t="shared" si="4"/>
        <v>433.89000000000033</v>
      </c>
      <c r="K19" s="138">
        <f t="shared" si="5"/>
        <v>6590789.1000000052</v>
      </c>
    </row>
    <row r="20" spans="2:16" x14ac:dyDescent="0.15">
      <c r="B20" s="18">
        <v>14</v>
      </c>
      <c r="C20" s="25" t="s">
        <v>12</v>
      </c>
      <c r="D20" s="285">
        <f t="shared" si="3"/>
        <v>6804.18</v>
      </c>
      <c r="E20" s="142">
        <v>5758.98</v>
      </c>
      <c r="F20" s="78">
        <f>+Facturas!D30+Facturas!D31</f>
        <v>7400</v>
      </c>
      <c r="G20" s="107">
        <f t="shared" si="0"/>
        <v>8445.2000000000007</v>
      </c>
      <c r="H20" s="386">
        <v>7982.13</v>
      </c>
      <c r="I20" s="107">
        <f t="shared" si="1"/>
        <v>-463.07000000000062</v>
      </c>
      <c r="J20" s="107">
        <f t="shared" si="4"/>
        <v>-29.180000000000291</v>
      </c>
      <c r="K20" s="138">
        <f t="shared" si="5"/>
        <v>-443244.20000000444</v>
      </c>
    </row>
    <row r="21" spans="2:16" x14ac:dyDescent="0.15">
      <c r="B21" s="18">
        <v>15</v>
      </c>
      <c r="C21" s="25" t="s">
        <v>13</v>
      </c>
      <c r="D21" s="285">
        <f t="shared" si="3"/>
        <v>7982.13</v>
      </c>
      <c r="E21" s="142">
        <v>4787.87</v>
      </c>
      <c r="F21" s="78">
        <f>+Facturas!D32+Facturas!D33</f>
        <v>4600</v>
      </c>
      <c r="G21" s="107">
        <f t="shared" si="0"/>
        <v>7794.2600000000011</v>
      </c>
      <c r="H21" s="386">
        <v>8118.09</v>
      </c>
      <c r="I21" s="107">
        <f>IF(E21=0,0,+H21-G21)</f>
        <v>323.82999999999902</v>
      </c>
      <c r="J21" s="107">
        <f t="shared" si="4"/>
        <v>294.64999999999873</v>
      </c>
      <c r="K21" s="138">
        <f t="shared" si="5"/>
        <v>4475733.4999999804</v>
      </c>
    </row>
    <row r="22" spans="2:16" x14ac:dyDescent="0.15">
      <c r="B22" s="18">
        <v>16</v>
      </c>
      <c r="C22" s="25" t="s">
        <v>14</v>
      </c>
      <c r="D22" s="285">
        <f t="shared" si="3"/>
        <v>8118.09</v>
      </c>
      <c r="E22" s="142">
        <v>3117.04</v>
      </c>
      <c r="F22" s="78">
        <f>+Facturas!D34+Facturas!D35</f>
        <v>0</v>
      </c>
      <c r="G22" s="107">
        <f t="shared" si="0"/>
        <v>5001.05</v>
      </c>
      <c r="H22" s="386">
        <v>4771.3909999999996</v>
      </c>
      <c r="I22" s="107">
        <f t="shared" ref="I22:I37" si="6">IF(E22=0,0,+H22-G22)</f>
        <v>-229.65900000000056</v>
      </c>
      <c r="J22" s="107">
        <f t="shared" ref="J22:J37" si="7">+J21+I22</f>
        <v>64.990999999998166</v>
      </c>
      <c r="K22" s="138">
        <f t="shared" si="5"/>
        <v>987213.2899999721</v>
      </c>
    </row>
    <row r="23" spans="2:16" x14ac:dyDescent="0.15">
      <c r="B23" s="18">
        <v>17</v>
      </c>
      <c r="C23" s="25" t="s">
        <v>9</v>
      </c>
      <c r="D23" s="285">
        <f t="shared" si="3"/>
        <v>4771.3909999999996</v>
      </c>
      <c r="E23" s="142">
        <v>3498.07</v>
      </c>
      <c r="F23" s="78">
        <f>+Facturas!D36+Facturas!D37</f>
        <v>7900</v>
      </c>
      <c r="G23" s="107">
        <f t="shared" si="0"/>
        <v>9173.3209999999999</v>
      </c>
      <c r="H23" s="386">
        <v>5779.741</v>
      </c>
      <c r="I23" s="107">
        <f t="shared" si="6"/>
        <v>-3393.58</v>
      </c>
      <c r="J23" s="107">
        <f t="shared" si="7"/>
        <v>-3328.5890000000018</v>
      </c>
      <c r="K23" s="138">
        <f t="shared" si="5"/>
        <v>-50561266.910000026</v>
      </c>
    </row>
    <row r="24" spans="2:16" x14ac:dyDescent="0.15">
      <c r="B24" s="18">
        <v>18</v>
      </c>
      <c r="C24" s="25" t="s">
        <v>9</v>
      </c>
      <c r="D24" s="285">
        <f t="shared" si="3"/>
        <v>5779.741</v>
      </c>
      <c r="E24" s="142">
        <v>3360.64</v>
      </c>
      <c r="F24" s="78">
        <f>+Facturas!D38+Facturas!D39</f>
        <v>1800</v>
      </c>
      <c r="G24" s="107">
        <f t="shared" si="0"/>
        <v>4219.1010000000006</v>
      </c>
      <c r="H24" s="386">
        <v>7512.3509999999997</v>
      </c>
      <c r="I24" s="107">
        <f t="shared" si="6"/>
        <v>3293.2499999999991</v>
      </c>
      <c r="J24" s="107">
        <f t="shared" si="7"/>
        <v>-35.33900000000267</v>
      </c>
      <c r="K24" s="138">
        <f t="shared" si="5"/>
        <v>-536799.41000004055</v>
      </c>
    </row>
    <row r="25" spans="2:16" x14ac:dyDescent="0.15">
      <c r="B25" s="18">
        <v>19</v>
      </c>
      <c r="C25" s="25" t="s">
        <v>10</v>
      </c>
      <c r="D25" s="285">
        <f t="shared" si="3"/>
        <v>7512.3509999999997</v>
      </c>
      <c r="E25" s="142">
        <v>3465.34</v>
      </c>
      <c r="F25" s="78">
        <f>+Facturas!D40+Facturas!D41</f>
        <v>0</v>
      </c>
      <c r="G25" s="107">
        <f t="shared" si="0"/>
        <v>4047.0109999999995</v>
      </c>
      <c r="H25" s="386">
        <v>4084.5</v>
      </c>
      <c r="I25" s="107">
        <f t="shared" si="6"/>
        <v>37.489000000000487</v>
      </c>
      <c r="J25" s="107">
        <f t="shared" si="7"/>
        <v>2.1499999999978172</v>
      </c>
      <c r="K25" s="138">
        <f t="shared" si="5"/>
        <v>32658.499999966843</v>
      </c>
    </row>
    <row r="26" spans="2:16" x14ac:dyDescent="0.15">
      <c r="B26" s="18">
        <v>20</v>
      </c>
      <c r="C26" s="25" t="s">
        <v>11</v>
      </c>
      <c r="D26" s="285">
        <f t="shared" si="3"/>
        <v>4084.5</v>
      </c>
      <c r="E26" s="537">
        <v>4211.55</v>
      </c>
      <c r="F26" s="78">
        <f>+Facturas!D42+Facturas!D43</f>
        <v>3500</v>
      </c>
      <c r="G26" s="107">
        <f t="shared" si="0"/>
        <v>3372.95</v>
      </c>
      <c r="H26" s="386">
        <v>3357.6109999999999</v>
      </c>
      <c r="I26" s="107">
        <f t="shared" si="6"/>
        <v>-15.338999999999942</v>
      </c>
      <c r="J26" s="107">
        <f t="shared" si="7"/>
        <v>-13.189000000002125</v>
      </c>
      <c r="K26" s="138">
        <f t="shared" si="5"/>
        <v>-200340.91000003228</v>
      </c>
    </row>
    <row r="27" spans="2:16" x14ac:dyDescent="0.15">
      <c r="B27" s="18">
        <v>21</v>
      </c>
      <c r="C27" s="25" t="s">
        <v>12</v>
      </c>
      <c r="D27" s="285">
        <f t="shared" si="3"/>
        <v>3357.6109999999999</v>
      </c>
      <c r="E27" s="142">
        <v>5393.43</v>
      </c>
      <c r="F27" s="78">
        <f>+Facturas!D44+Facturas!D45</f>
        <v>5800</v>
      </c>
      <c r="G27" s="107">
        <f t="shared" si="0"/>
        <v>3764.1810000000005</v>
      </c>
      <c r="H27" s="386">
        <v>3822.94</v>
      </c>
      <c r="I27" s="107">
        <f t="shared" si="6"/>
        <v>58.75899999999956</v>
      </c>
      <c r="J27" s="107">
        <f t="shared" si="7"/>
        <v>45.569999999997435</v>
      </c>
      <c r="K27" s="138">
        <f t="shared" si="5"/>
        <v>692208.29999996105</v>
      </c>
    </row>
    <row r="28" spans="2:16" x14ac:dyDescent="0.15">
      <c r="B28" s="18">
        <v>22</v>
      </c>
      <c r="C28" s="25" t="s">
        <v>13</v>
      </c>
      <c r="D28" s="285">
        <f t="shared" si="3"/>
        <v>3822.94</v>
      </c>
      <c r="E28" s="142">
        <v>4222.01</v>
      </c>
      <c r="F28" s="78">
        <f>+Facturas!D46+Facturas!D47</f>
        <v>5800</v>
      </c>
      <c r="G28" s="107">
        <f t="shared" si="0"/>
        <v>5400.93</v>
      </c>
      <c r="H28" s="386">
        <v>5355.88</v>
      </c>
      <c r="I28" s="107">
        <f t="shared" si="6"/>
        <v>-45.050000000000182</v>
      </c>
      <c r="J28" s="107">
        <f t="shared" si="7"/>
        <v>0.51999999999725333</v>
      </c>
      <c r="K28" s="138">
        <f t="shared" si="5"/>
        <v>7898.799999958278</v>
      </c>
    </row>
    <row r="29" spans="2:16" x14ac:dyDescent="0.15">
      <c r="B29" s="18">
        <v>23</v>
      </c>
      <c r="C29" s="25" t="s">
        <v>14</v>
      </c>
      <c r="D29" s="285">
        <f t="shared" si="3"/>
        <v>5355.88</v>
      </c>
      <c r="E29" s="142">
        <v>3304.58</v>
      </c>
      <c r="F29" s="78">
        <f>+Facturas!D48+Facturas!D49</f>
        <v>3500</v>
      </c>
      <c r="G29" s="107">
        <f t="shared" si="0"/>
        <v>5551.3000000000011</v>
      </c>
      <c r="H29" s="386">
        <v>5568.11</v>
      </c>
      <c r="I29" s="107">
        <f t="shared" si="6"/>
        <v>16.809999999998581</v>
      </c>
      <c r="J29" s="107">
        <f t="shared" si="7"/>
        <v>17.329999999995835</v>
      </c>
      <c r="K29" s="138">
        <f t="shared" si="5"/>
        <v>263242.69999993674</v>
      </c>
    </row>
    <row r="30" spans="2:16" x14ac:dyDescent="0.15">
      <c r="B30" s="18">
        <v>24</v>
      </c>
      <c r="C30" s="25" t="s">
        <v>9</v>
      </c>
      <c r="D30" s="285">
        <f t="shared" si="3"/>
        <v>5568.11</v>
      </c>
      <c r="E30" s="142">
        <v>3183.75</v>
      </c>
      <c r="F30" s="78">
        <f>+Facturas!D50+Facturas!D51</f>
        <v>4000</v>
      </c>
      <c r="G30" s="107">
        <f t="shared" si="0"/>
        <v>6384.3600000000006</v>
      </c>
      <c r="H30" s="386">
        <v>6356.3109999999997</v>
      </c>
      <c r="I30" s="107">
        <f t="shared" si="6"/>
        <v>-28.049000000000888</v>
      </c>
      <c r="J30" s="107">
        <f t="shared" si="7"/>
        <v>-10.719000000005053</v>
      </c>
      <c r="K30" s="138">
        <f t="shared" si="5"/>
        <v>-162821.61000007676</v>
      </c>
      <c r="M30" s="146"/>
      <c r="N30" s="146"/>
      <c r="O30" s="146"/>
      <c r="P30" s="302"/>
    </row>
    <row r="31" spans="2:16" x14ac:dyDescent="0.15">
      <c r="B31" s="18">
        <v>25</v>
      </c>
      <c r="C31" s="25" t="s">
        <v>9</v>
      </c>
      <c r="D31" s="285">
        <f t="shared" si="3"/>
        <v>6356.3109999999997</v>
      </c>
      <c r="E31" s="142">
        <v>3467.68</v>
      </c>
      <c r="F31" s="78">
        <f>+Facturas!D52+Facturas!D53</f>
        <v>2700</v>
      </c>
      <c r="G31" s="107">
        <f t="shared" si="0"/>
        <v>5588.6309999999994</v>
      </c>
      <c r="H31" s="386">
        <v>5668.701</v>
      </c>
      <c r="I31" s="107">
        <f t="shared" si="6"/>
        <v>80.070000000000618</v>
      </c>
      <c r="J31" s="107">
        <f t="shared" si="7"/>
        <v>69.350999999995565</v>
      </c>
      <c r="K31" s="138">
        <f t="shared" si="5"/>
        <v>1053441.6899999327</v>
      </c>
    </row>
    <row r="32" spans="2:16" x14ac:dyDescent="0.15">
      <c r="B32" s="18">
        <v>26</v>
      </c>
      <c r="C32" s="25" t="s">
        <v>10</v>
      </c>
      <c r="D32" s="285">
        <f t="shared" si="3"/>
        <v>5668.701</v>
      </c>
      <c r="E32" s="142">
        <v>3178.01</v>
      </c>
      <c r="F32" s="78">
        <f>+Facturas!D54+Facturas!D55</f>
        <v>2700</v>
      </c>
      <c r="G32" s="107">
        <f>+D32+F32-E32</f>
        <v>5190.6910000000007</v>
      </c>
      <c r="H32" s="386">
        <v>5090.1809999999996</v>
      </c>
      <c r="I32" s="107">
        <f t="shared" si="6"/>
        <v>-100.51000000000113</v>
      </c>
      <c r="J32" s="107">
        <f t="shared" si="7"/>
        <v>-31.159000000005562</v>
      </c>
      <c r="K32" s="138">
        <f t="shared" si="5"/>
        <v>-473305.21000008448</v>
      </c>
    </row>
    <row r="33" spans="2:14" x14ac:dyDescent="0.15">
      <c r="B33" s="18">
        <v>27</v>
      </c>
      <c r="C33" s="25" t="s">
        <v>11</v>
      </c>
      <c r="D33" s="285">
        <f t="shared" si="3"/>
        <v>5090.1809999999996</v>
      </c>
      <c r="E33" s="142">
        <v>4230.9799999999996</v>
      </c>
      <c r="F33" s="78">
        <f>+Facturas!D56+Facturas!D57</f>
        <v>8700</v>
      </c>
      <c r="G33" s="107">
        <f>+D33+F33-E33</f>
        <v>9559.2010000000009</v>
      </c>
      <c r="H33" s="386">
        <v>6147.8</v>
      </c>
      <c r="I33" s="107">
        <f t="shared" si="6"/>
        <v>-3411.4010000000007</v>
      </c>
      <c r="J33" s="107">
        <f t="shared" si="7"/>
        <v>-3442.5600000000063</v>
      </c>
      <c r="K33" s="138">
        <f t="shared" si="5"/>
        <v>-52292486.400000095</v>
      </c>
    </row>
    <row r="34" spans="2:14" x14ac:dyDescent="0.15">
      <c r="B34" s="18">
        <v>28</v>
      </c>
      <c r="C34" s="25" t="s">
        <v>12</v>
      </c>
      <c r="D34" s="285">
        <f t="shared" si="3"/>
        <v>6147.8</v>
      </c>
      <c r="E34" s="142">
        <v>6102.09</v>
      </c>
      <c r="F34" s="78">
        <f>+Facturas!D58+Facturas!D59</f>
        <v>3500</v>
      </c>
      <c r="G34" s="107">
        <f t="shared" si="0"/>
        <v>3545.7099999999991</v>
      </c>
      <c r="H34" s="386">
        <v>6919.96</v>
      </c>
      <c r="I34" s="107">
        <f t="shared" si="6"/>
        <v>3374.2500000000009</v>
      </c>
      <c r="J34" s="107">
        <f t="shared" si="7"/>
        <v>-68.310000000005402</v>
      </c>
      <c r="K34" s="138">
        <f t="shared" si="5"/>
        <v>-1037628.9000000821</v>
      </c>
    </row>
    <row r="35" spans="2:14" x14ac:dyDescent="0.15">
      <c r="B35" s="18">
        <v>29</v>
      </c>
      <c r="C35" s="25" t="s">
        <v>13</v>
      </c>
      <c r="D35" s="285">
        <f t="shared" si="3"/>
        <v>6919.96</v>
      </c>
      <c r="E35" s="142"/>
      <c r="F35" s="78">
        <f>+Facturas!D60+Facturas!D61</f>
        <v>0</v>
      </c>
      <c r="G35" s="107">
        <f t="shared" si="0"/>
        <v>6919.96</v>
      </c>
      <c r="H35" s="386"/>
      <c r="I35" s="107">
        <f t="shared" si="6"/>
        <v>0</v>
      </c>
      <c r="J35" s="107">
        <f t="shared" si="7"/>
        <v>-68.310000000005402</v>
      </c>
      <c r="K35" s="138">
        <f t="shared" si="5"/>
        <v>-1037628.9000000821</v>
      </c>
    </row>
    <row r="36" spans="2:14" x14ac:dyDescent="0.15">
      <c r="B36" s="18">
        <v>30</v>
      </c>
      <c r="C36" s="25" t="s">
        <v>14</v>
      </c>
      <c r="D36" s="285">
        <f t="shared" si="3"/>
        <v>0</v>
      </c>
      <c r="E36" s="142"/>
      <c r="F36" s="78">
        <f>+Facturas!D62+Facturas!D63</f>
        <v>0</v>
      </c>
      <c r="G36" s="107">
        <f t="shared" si="0"/>
        <v>0</v>
      </c>
      <c r="H36" s="386"/>
      <c r="I36" s="107">
        <f t="shared" si="6"/>
        <v>0</v>
      </c>
      <c r="J36" s="107">
        <f t="shared" si="7"/>
        <v>-68.310000000005402</v>
      </c>
      <c r="K36" s="138">
        <f t="shared" si="5"/>
        <v>-1037628.9000000821</v>
      </c>
    </row>
    <row r="37" spans="2:14" ht="14" thickBot="1" x14ac:dyDescent="0.2">
      <c r="B37" s="19">
        <v>31</v>
      </c>
      <c r="C37" s="26" t="s">
        <v>9</v>
      </c>
      <c r="D37" s="385">
        <f t="shared" si="3"/>
        <v>0</v>
      </c>
      <c r="E37" s="274"/>
      <c r="F37" s="124">
        <f>+Facturas!D64+Facturas!D65</f>
        <v>0</v>
      </c>
      <c r="G37" s="139">
        <f>+D37+F37-E37</f>
        <v>0</v>
      </c>
      <c r="H37" s="406"/>
      <c r="I37" s="139">
        <f t="shared" si="6"/>
        <v>0</v>
      </c>
      <c r="J37" s="139">
        <f t="shared" si="7"/>
        <v>-68.310000000005402</v>
      </c>
      <c r="K37" s="287">
        <f t="shared" si="5"/>
        <v>-1037628.9000000821</v>
      </c>
    </row>
    <row r="38" spans="2:14" ht="14" thickBot="1" x14ac:dyDescent="0.2">
      <c r="B38" s="16"/>
      <c r="C38" s="27"/>
      <c r="D38" s="28"/>
      <c r="E38" s="251">
        <f>SUM(E7:E37)</f>
        <v>105314.9</v>
      </c>
      <c r="F38" s="332">
        <f>SUM(F7:F37)</f>
        <v>104600</v>
      </c>
      <c r="G38" s="28"/>
      <c r="H38" s="28"/>
      <c r="I38" s="28"/>
      <c r="J38" s="28"/>
      <c r="K38" s="106"/>
    </row>
    <row r="39" spans="2:14" ht="14" thickBot="1" x14ac:dyDescent="0.2">
      <c r="D39" s="167" t="s">
        <v>94</v>
      </c>
      <c r="E39" s="205">
        <f>+AVERAGEIF(E7:E37,"&gt;0",E7:E37)</f>
        <v>3761.2464285714282</v>
      </c>
      <c r="F39" s="204">
        <f>+AVERAGEIF(F7:F37,"&gt;0",F7:F37)</f>
        <v>4358.333333333333</v>
      </c>
      <c r="N39" s="282"/>
    </row>
    <row r="40" spans="2:14" x14ac:dyDescent="0.15">
      <c r="D40">
        <v>31</v>
      </c>
      <c r="E40" s="269">
        <f>+E39*D40</f>
        <v>116598.63928571428</v>
      </c>
      <c r="F40" s="234" t="e">
        <f>+E40/Presupuesto!#REF!</f>
        <v>#REF!</v>
      </c>
    </row>
    <row r="42" spans="2:14" x14ac:dyDescent="0.15">
      <c r="E42" s="269"/>
      <c r="J42" s="77"/>
    </row>
    <row r="44" spans="2:14" x14ac:dyDescent="0.15">
      <c r="E44" s="269"/>
    </row>
    <row r="46" spans="2:14" x14ac:dyDescent="0.15">
      <c r="D46" s="146"/>
    </row>
    <row r="47" spans="2:14" x14ac:dyDescent="0.15">
      <c r="C47" s="146"/>
    </row>
    <row r="48" spans="2:14" x14ac:dyDescent="0.15">
      <c r="C48" s="146"/>
    </row>
    <row r="49" spans="3:3" x14ac:dyDescent="0.15">
      <c r="C49" s="146"/>
    </row>
    <row r="50" spans="3:3" x14ac:dyDescent="0.15">
      <c r="C50" s="146"/>
    </row>
    <row r="51" spans="3:3" x14ac:dyDescent="0.15">
      <c r="C51" s="146"/>
    </row>
    <row r="52" spans="3:3" x14ac:dyDescent="0.15">
      <c r="C52" s="146"/>
    </row>
    <row r="53" spans="3:3" x14ac:dyDescent="0.15">
      <c r="C53" s="146"/>
    </row>
    <row r="54" spans="3:3" x14ac:dyDescent="0.15">
      <c r="C54" s="146"/>
    </row>
    <row r="55" spans="3:3" x14ac:dyDescent="0.15">
      <c r="C55" s="146"/>
    </row>
    <row r="56" spans="3:3" x14ac:dyDescent="0.15">
      <c r="C56" s="146"/>
    </row>
    <row r="57" spans="3:3" x14ac:dyDescent="0.15">
      <c r="C57" s="146"/>
    </row>
    <row r="58" spans="3:3" x14ac:dyDescent="0.15">
      <c r="C58" s="146"/>
    </row>
    <row r="59" spans="3:3" x14ac:dyDescent="0.15">
      <c r="C59" s="146"/>
    </row>
  </sheetData>
  <mergeCells count="1">
    <mergeCell ref="B6:C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45"/>
  <sheetViews>
    <sheetView zoomScale="120" zoomScaleNormal="120" workbookViewId="0">
      <selection activeCell="H34" sqref="H34"/>
    </sheetView>
  </sheetViews>
  <sheetFormatPr baseColWidth="10" defaultColWidth="10.83203125" defaultRowHeight="13" x14ac:dyDescent="0.15"/>
  <cols>
    <col min="2" max="2" width="3" bestFit="1" customWidth="1"/>
    <col min="3" max="3" width="3.6640625" bestFit="1" customWidth="1"/>
    <col min="11" max="11" width="15.5" bestFit="1" customWidth="1"/>
    <col min="13" max="13" width="14.6640625" bestFit="1" customWidth="1"/>
    <col min="14" max="14" width="12.5" bestFit="1" customWidth="1"/>
    <col min="21" max="21" width="16" bestFit="1" customWidth="1"/>
  </cols>
  <sheetData>
    <row r="3" spans="2:15" x14ac:dyDescent="0.15">
      <c r="D3" s="76" t="s">
        <v>39</v>
      </c>
      <c r="E3" s="76" t="s">
        <v>41</v>
      </c>
      <c r="F3" s="76" t="s">
        <v>42</v>
      </c>
      <c r="G3" s="76" t="s">
        <v>41</v>
      </c>
      <c r="H3" s="76" t="s">
        <v>42</v>
      </c>
      <c r="I3" s="76" t="s">
        <v>41</v>
      </c>
      <c r="J3" s="76" t="s">
        <v>42</v>
      </c>
      <c r="K3" s="76" t="s">
        <v>41</v>
      </c>
      <c r="L3" s="76" t="s">
        <v>42</v>
      </c>
    </row>
    <row r="4" spans="2:15" x14ac:dyDescent="0.15">
      <c r="D4" s="76" t="s">
        <v>63</v>
      </c>
      <c r="E4" s="76">
        <v>10750</v>
      </c>
      <c r="F4" s="83">
        <v>46043</v>
      </c>
      <c r="G4" s="76"/>
      <c r="H4" s="83"/>
      <c r="I4" s="76"/>
      <c r="J4" s="83"/>
      <c r="K4" s="76"/>
      <c r="L4" s="83"/>
    </row>
    <row r="5" spans="2:15" ht="14" thickBot="1" x14ac:dyDescent="0.2"/>
    <row r="6" spans="2:15" ht="14" thickBot="1" x14ac:dyDescent="0.2">
      <c r="B6" s="569" t="s">
        <v>1</v>
      </c>
      <c r="C6" s="570"/>
      <c r="D6" s="75" t="s">
        <v>2</v>
      </c>
      <c r="E6" s="94" t="s">
        <v>3</v>
      </c>
      <c r="F6" s="75" t="s">
        <v>4</v>
      </c>
      <c r="G6" s="75" t="s">
        <v>43</v>
      </c>
      <c r="H6" s="94" t="s">
        <v>5</v>
      </c>
      <c r="I6" s="75" t="s">
        <v>44</v>
      </c>
      <c r="J6" s="75" t="s">
        <v>45</v>
      </c>
      <c r="K6" s="136" t="s">
        <v>74</v>
      </c>
      <c r="M6" s="286"/>
      <c r="N6" s="286"/>
      <c r="O6" s="286"/>
    </row>
    <row r="7" spans="2:15" ht="14" thickBot="1" x14ac:dyDescent="0.2">
      <c r="B7" s="23">
        <v>1</v>
      </c>
      <c r="C7" s="24" t="str">
        <f>+'G. Corriente'!C7</f>
        <v>D</v>
      </c>
      <c r="D7" s="406">
        <f>9641.241+3010.186</f>
        <v>12651.427</v>
      </c>
      <c r="E7" s="248">
        <v>1255.44</v>
      </c>
      <c r="F7" s="119">
        <f>+Facturas!G4+Facturas!G5</f>
        <v>0</v>
      </c>
      <c r="G7" s="307">
        <f>+D7+F7-E7</f>
        <v>11395.986999999999</v>
      </c>
      <c r="H7" s="405">
        <f>9499.8+1895.734</f>
        <v>11395.534</v>
      </c>
      <c r="I7" s="162">
        <f>IF(E7=0,0,+H7-G7)</f>
        <v>-0.45299999999951979</v>
      </c>
      <c r="J7" s="162">
        <f>+I7</f>
        <v>-0.45299999999951979</v>
      </c>
      <c r="K7" s="140">
        <f>+J7*$E$4</f>
        <v>-4869.7499999948377</v>
      </c>
      <c r="L7" s="282"/>
    </row>
    <row r="8" spans="2:15" x14ac:dyDescent="0.15">
      <c r="B8" s="18">
        <v>2</v>
      </c>
      <c r="C8" s="25" t="str">
        <f>+'G. Corriente'!C8</f>
        <v>L</v>
      </c>
      <c r="D8" s="285">
        <f>+H7</f>
        <v>11395.534</v>
      </c>
      <c r="E8" s="142">
        <v>5294.17</v>
      </c>
      <c r="F8" s="90">
        <f>+Facturas!G6+Facturas!G7</f>
        <v>2800</v>
      </c>
      <c r="G8" s="78">
        <f t="shared" ref="G8:G37" si="0">+D8+F8-E8</f>
        <v>8901.3639999999996</v>
      </c>
      <c r="H8" s="386">
        <f>6388.98+4268</f>
        <v>10656.98</v>
      </c>
      <c r="I8" s="107">
        <f t="shared" ref="I8:I37" si="1">IF(E8=0,0,+H8-G8)</f>
        <v>1755.616</v>
      </c>
      <c r="J8" s="107">
        <f>+J7+I8</f>
        <v>1755.1630000000005</v>
      </c>
      <c r="K8" s="138">
        <f t="shared" ref="K8:K37" si="2">+J8*$E$4</f>
        <v>18868002.250000004</v>
      </c>
    </row>
    <row r="9" spans="2:15" x14ac:dyDescent="0.15">
      <c r="B9" s="18">
        <v>3</v>
      </c>
      <c r="C9" s="25" t="str">
        <f>+'G. Corriente'!C9</f>
        <v>M</v>
      </c>
      <c r="D9" s="285">
        <f>+H8</f>
        <v>10656.98</v>
      </c>
      <c r="E9" s="142">
        <v>5289.52</v>
      </c>
      <c r="F9" s="78">
        <f>+Facturas!G8+Facturas!G9</f>
        <v>4600</v>
      </c>
      <c r="G9" s="78">
        <f t="shared" si="0"/>
        <v>9967.4599999999991</v>
      </c>
      <c r="H9" s="409">
        <v>8419</v>
      </c>
      <c r="I9" s="107">
        <f t="shared" si="1"/>
        <v>-1548.4599999999991</v>
      </c>
      <c r="J9" s="107">
        <f>+J8+I9</f>
        <v>206.70300000000134</v>
      </c>
      <c r="K9" s="138">
        <f t="shared" si="2"/>
        <v>2222057.2500000144</v>
      </c>
    </row>
    <row r="10" spans="2:15" x14ac:dyDescent="0.15">
      <c r="B10" s="18">
        <v>4</v>
      </c>
      <c r="C10" s="25" t="str">
        <f>+'G. Corriente'!C10</f>
        <v>M</v>
      </c>
      <c r="D10" s="285">
        <f t="shared" ref="D10:D35" si="3">+H9</f>
        <v>8419</v>
      </c>
      <c r="E10" s="142">
        <v>5582.65</v>
      </c>
      <c r="F10" s="90">
        <f>+Facturas!G10+Facturas!G11</f>
        <v>5800</v>
      </c>
      <c r="G10" s="78">
        <f t="shared" si="0"/>
        <v>8636.35</v>
      </c>
      <c r="H10" s="386">
        <f>5687.791+2887.646</f>
        <v>8575.4369999999999</v>
      </c>
      <c r="I10" s="107">
        <f t="shared" si="1"/>
        <v>-60.913000000000466</v>
      </c>
      <c r="J10" s="107">
        <f t="shared" ref="J10:J37" si="4">+J9+I10</f>
        <v>145.79000000000087</v>
      </c>
      <c r="K10" s="138">
        <f t="shared" si="2"/>
        <v>1567242.5000000093</v>
      </c>
    </row>
    <row r="11" spans="2:15" x14ac:dyDescent="0.15">
      <c r="B11" s="18">
        <v>5</v>
      </c>
      <c r="C11" s="25" t="str">
        <f>+'G. Corriente'!C11</f>
        <v>J</v>
      </c>
      <c r="D11" s="285">
        <f t="shared" si="3"/>
        <v>8575.4369999999999</v>
      </c>
      <c r="E11" s="142">
        <v>5661.36</v>
      </c>
      <c r="F11" s="90">
        <f>+Facturas!G12+Facturas!G13</f>
        <v>3500</v>
      </c>
      <c r="G11" s="78">
        <f t="shared" si="0"/>
        <v>6414.0770000000002</v>
      </c>
      <c r="H11" s="386">
        <f>5951.161+457.326</f>
        <v>6408.4870000000001</v>
      </c>
      <c r="I11" s="107">
        <f t="shared" si="1"/>
        <v>-5.5900000000001455</v>
      </c>
      <c r="J11" s="107">
        <f t="shared" si="4"/>
        <v>140.20000000000073</v>
      </c>
      <c r="K11" s="138">
        <f t="shared" si="2"/>
        <v>1507150.0000000079</v>
      </c>
    </row>
    <row r="12" spans="2:15" x14ac:dyDescent="0.15">
      <c r="B12" s="18">
        <v>6</v>
      </c>
      <c r="C12" s="25" t="str">
        <f>+'G. Corriente'!C12</f>
        <v>V</v>
      </c>
      <c r="D12" s="285">
        <f t="shared" si="3"/>
        <v>6408.4870000000001</v>
      </c>
      <c r="E12" s="142">
        <v>4443.78</v>
      </c>
      <c r="F12" s="78">
        <f>+Facturas!G14+Facturas!G15</f>
        <v>8700</v>
      </c>
      <c r="G12" s="78">
        <f t="shared" si="0"/>
        <v>10664.707000000002</v>
      </c>
      <c r="H12" s="386">
        <f>7082.96+3327.073</f>
        <v>10410.032999999999</v>
      </c>
      <c r="I12" s="107">
        <f t="shared" si="1"/>
        <v>-254.67400000000271</v>
      </c>
      <c r="J12" s="107">
        <f t="shared" si="4"/>
        <v>-114.47400000000198</v>
      </c>
      <c r="K12" s="138">
        <f t="shared" si="2"/>
        <v>-1230595.5000000212</v>
      </c>
    </row>
    <row r="13" spans="2:15" x14ac:dyDescent="0.15">
      <c r="B13" s="18">
        <v>7</v>
      </c>
      <c r="C13" s="25" t="str">
        <f>+'G. Corriente'!C13</f>
        <v>S</v>
      </c>
      <c r="D13" s="285">
        <f t="shared" si="3"/>
        <v>10410.032999999999</v>
      </c>
      <c r="E13" s="142">
        <v>4198.96</v>
      </c>
      <c r="F13" s="90">
        <f>+Facturas!G16+Facturas!G17</f>
        <v>3500</v>
      </c>
      <c r="G13" s="78">
        <f t="shared" si="0"/>
        <v>9711.0730000000003</v>
      </c>
      <c r="H13" s="386">
        <f>6881.8+3190.855</f>
        <v>10072.655000000001</v>
      </c>
      <c r="I13" s="107">
        <f t="shared" si="1"/>
        <v>361.58200000000033</v>
      </c>
      <c r="J13" s="107">
        <f t="shared" si="4"/>
        <v>247.10799999999836</v>
      </c>
      <c r="K13" s="138">
        <f t="shared" si="2"/>
        <v>2656410.9999999823</v>
      </c>
    </row>
    <row r="14" spans="2:15" x14ac:dyDescent="0.15">
      <c r="B14" s="18">
        <v>8</v>
      </c>
      <c r="C14" s="25" t="str">
        <f>+'G. Corriente'!C14</f>
        <v>D</v>
      </c>
      <c r="D14" s="285">
        <f>+H13</f>
        <v>10072.655000000001</v>
      </c>
      <c r="E14" s="142">
        <v>1773.03</v>
      </c>
      <c r="F14" s="90">
        <f>+Facturas!G18+Facturas!G19</f>
        <v>0</v>
      </c>
      <c r="G14" s="78">
        <f t="shared" si="0"/>
        <v>8299.625</v>
      </c>
      <c r="H14" s="386">
        <f>5845.971+2665.554</f>
        <v>8511.5249999999996</v>
      </c>
      <c r="I14" s="107">
        <f>IF(E14=0,0,+H14-G14)</f>
        <v>211.89999999999964</v>
      </c>
      <c r="J14" s="107">
        <f>+J13+I14</f>
        <v>459.00799999999799</v>
      </c>
      <c r="K14" s="138">
        <f t="shared" si="2"/>
        <v>4934335.9999999786</v>
      </c>
    </row>
    <row r="15" spans="2:15" x14ac:dyDescent="0.15">
      <c r="B15" s="18">
        <v>9</v>
      </c>
      <c r="C15" s="25" t="str">
        <f>+'G. Corriente'!C15</f>
        <v>L</v>
      </c>
      <c r="D15" s="285">
        <f>+H14</f>
        <v>8511.5249999999996</v>
      </c>
      <c r="E15" s="142">
        <v>4911.96</v>
      </c>
      <c r="F15" s="78">
        <f>+Facturas!G20+Facturas!G21</f>
        <v>4000</v>
      </c>
      <c r="G15" s="78">
        <f t="shared" si="0"/>
        <v>7599.5649999999996</v>
      </c>
      <c r="H15" s="386">
        <f>5793.291+1629.61</f>
        <v>7422.9009999999998</v>
      </c>
      <c r="I15" s="107">
        <f t="shared" si="1"/>
        <v>-176.66399999999976</v>
      </c>
      <c r="J15" s="107">
        <f t="shared" si="4"/>
        <v>282.34399999999823</v>
      </c>
      <c r="K15" s="138">
        <f t="shared" si="2"/>
        <v>3035197.9999999809</v>
      </c>
    </row>
    <row r="16" spans="2:15" x14ac:dyDescent="0.15">
      <c r="B16" s="18">
        <v>10</v>
      </c>
      <c r="C16" s="25" t="str">
        <f>+'G. Corriente'!C16</f>
        <v>M</v>
      </c>
      <c r="D16" s="285">
        <f t="shared" si="3"/>
        <v>7422.9009999999998</v>
      </c>
      <c r="E16" s="142">
        <v>5231.8900000000003</v>
      </c>
      <c r="F16" s="90">
        <f>+Facturas!G22+Facturas!G23</f>
        <v>5200</v>
      </c>
      <c r="G16" s="78">
        <f t="shared" si="0"/>
        <v>7391.0109999999995</v>
      </c>
      <c r="H16" s="386">
        <f>5423.4+1976.789</f>
        <v>7400.1889999999994</v>
      </c>
      <c r="I16" s="107">
        <f t="shared" si="1"/>
        <v>9.1779999999998836</v>
      </c>
      <c r="J16" s="107">
        <f t="shared" si="4"/>
        <v>291.52199999999812</v>
      </c>
      <c r="K16" s="138">
        <f t="shared" si="2"/>
        <v>3133861.4999999795</v>
      </c>
    </row>
    <row r="17" spans="2:13" x14ac:dyDescent="0.15">
      <c r="B17" s="18">
        <v>11</v>
      </c>
      <c r="C17" s="25" t="str">
        <f>+'G. Corriente'!C17</f>
        <v>M</v>
      </c>
      <c r="D17" s="285">
        <f>+H16</f>
        <v>7400.1889999999994</v>
      </c>
      <c r="E17" s="142">
        <v>4905.58</v>
      </c>
      <c r="F17" s="90">
        <f>+Facturas!G24+Facturas!G25</f>
        <v>6800</v>
      </c>
      <c r="G17" s="78">
        <f t="shared" si="0"/>
        <v>9294.6089999999986</v>
      </c>
      <c r="H17" s="386">
        <f>6368.98+2915.351</f>
        <v>9284.3310000000001</v>
      </c>
      <c r="I17" s="107">
        <f t="shared" si="1"/>
        <v>-10.277999999998428</v>
      </c>
      <c r="J17" s="107">
        <f t="shared" si="4"/>
        <v>281.24399999999969</v>
      </c>
      <c r="K17" s="138">
        <f t="shared" si="2"/>
        <v>3023372.9999999967</v>
      </c>
    </row>
    <row r="18" spans="2:13" x14ac:dyDescent="0.15">
      <c r="B18" s="18">
        <v>12</v>
      </c>
      <c r="C18" s="25" t="str">
        <f>+'G. Corriente'!C18</f>
        <v>J</v>
      </c>
      <c r="D18" s="285">
        <f>+H17</f>
        <v>9284.3310000000001</v>
      </c>
      <c r="E18" s="142">
        <v>5109.38</v>
      </c>
      <c r="F18" s="78">
        <f>+Facturas!G26+Facturas!G27</f>
        <v>4600</v>
      </c>
      <c r="G18" s="78">
        <f t="shared" si="0"/>
        <v>8774.9510000000009</v>
      </c>
      <c r="H18" s="386">
        <f>5793.291+3025.937</f>
        <v>8819.2279999999992</v>
      </c>
      <c r="I18" s="107">
        <f t="shared" si="1"/>
        <v>44.276999999998225</v>
      </c>
      <c r="J18" s="107">
        <f t="shared" si="4"/>
        <v>325.52099999999791</v>
      </c>
      <c r="K18" s="138">
        <f t="shared" si="2"/>
        <v>3499350.7499999776</v>
      </c>
    </row>
    <row r="19" spans="2:13" x14ac:dyDescent="0.15">
      <c r="B19" s="18">
        <v>13</v>
      </c>
      <c r="C19" s="25" t="str">
        <f>+'G. Corriente'!C19</f>
        <v>V</v>
      </c>
      <c r="D19" s="285">
        <f t="shared" si="3"/>
        <v>8819.2279999999992</v>
      </c>
      <c r="E19" s="142">
        <v>4691.25</v>
      </c>
      <c r="F19" s="78">
        <f>+Facturas!G28+Facturas!G29</f>
        <v>4600</v>
      </c>
      <c r="G19" s="78">
        <f t="shared" si="0"/>
        <v>8727.9779999999992</v>
      </c>
      <c r="H19" s="386">
        <f>6212.931+2526.687</f>
        <v>8739.6179999999986</v>
      </c>
      <c r="I19" s="107">
        <f t="shared" si="1"/>
        <v>11.639999999999418</v>
      </c>
      <c r="J19" s="107">
        <f t="shared" si="4"/>
        <v>337.16099999999733</v>
      </c>
      <c r="K19" s="138">
        <f t="shared" si="2"/>
        <v>3624480.7499999711</v>
      </c>
      <c r="M19" s="342"/>
    </row>
    <row r="20" spans="2:13" x14ac:dyDescent="0.15">
      <c r="B20" s="18">
        <v>14</v>
      </c>
      <c r="C20" s="25" t="str">
        <f>+'G. Corriente'!C20</f>
        <v>S</v>
      </c>
      <c r="D20" s="285">
        <f t="shared" si="3"/>
        <v>8739.6179999999986</v>
      </c>
      <c r="E20" s="142">
        <v>3150.09</v>
      </c>
      <c r="F20" s="90">
        <f>+Facturas!G30+Facturas!G31</f>
        <v>8000</v>
      </c>
      <c r="G20" s="78">
        <f t="shared" si="0"/>
        <v>13589.527999999998</v>
      </c>
      <c r="H20" s="386">
        <f>8776.371+4739.05</f>
        <v>13515.420999999998</v>
      </c>
      <c r="I20" s="107">
        <f t="shared" si="1"/>
        <v>-74.106999999999971</v>
      </c>
      <c r="J20" s="107">
        <f>+J19+I20</f>
        <v>263.05399999999736</v>
      </c>
      <c r="K20" s="138">
        <f t="shared" si="2"/>
        <v>2827830.4999999716</v>
      </c>
    </row>
    <row r="21" spans="2:13" x14ac:dyDescent="0.15">
      <c r="B21" s="18">
        <v>15</v>
      </c>
      <c r="C21" s="25" t="str">
        <f>+'G. Corriente'!C21</f>
        <v>D</v>
      </c>
      <c r="D21" s="285">
        <f t="shared" si="3"/>
        <v>13515.420999999998</v>
      </c>
      <c r="E21" s="142">
        <v>1453.16</v>
      </c>
      <c r="F21" s="78">
        <f>+Facturas!G32+Facturas!G33</f>
        <v>4000</v>
      </c>
      <c r="G21" s="78">
        <f t="shared" si="0"/>
        <v>16062.260999999999</v>
      </c>
      <c r="H21" s="386">
        <f>7995.71+4080.061</f>
        <v>12075.771000000001</v>
      </c>
      <c r="I21" s="107">
        <f t="shared" si="1"/>
        <v>-3986.489999999998</v>
      </c>
      <c r="J21" s="107">
        <f t="shared" si="4"/>
        <v>-3723.4360000000006</v>
      </c>
      <c r="K21" s="138">
        <f t="shared" si="2"/>
        <v>-40026937.000000007</v>
      </c>
    </row>
    <row r="22" spans="2:13" x14ac:dyDescent="0.15">
      <c r="B22" s="18">
        <v>16</v>
      </c>
      <c r="C22" s="118" t="str">
        <f>+'G. Corriente'!C22</f>
        <v>L</v>
      </c>
      <c r="D22" s="285">
        <f t="shared" si="3"/>
        <v>12075.771000000001</v>
      </c>
      <c r="E22" s="142">
        <v>5991.78</v>
      </c>
      <c r="F22" s="90">
        <f>+Facturas!G34+Facturas!G35</f>
        <v>0</v>
      </c>
      <c r="G22" s="373">
        <f>+D22+F22-E22</f>
        <v>6083.9910000000009</v>
      </c>
      <c r="H22" s="386">
        <f>7032.92+3053.512</f>
        <v>10086.432000000001</v>
      </c>
      <c r="I22" s="107">
        <f t="shared" si="1"/>
        <v>4002.4409999999998</v>
      </c>
      <c r="J22" s="107">
        <f>+J21+I22</f>
        <v>279.0049999999992</v>
      </c>
      <c r="K22" s="138">
        <f t="shared" si="2"/>
        <v>2999303.7499999916</v>
      </c>
    </row>
    <row r="23" spans="2:13" x14ac:dyDescent="0.15">
      <c r="B23" s="18">
        <v>17</v>
      </c>
      <c r="C23" s="25" t="str">
        <f>+'G. Corriente'!C23</f>
        <v>M</v>
      </c>
      <c r="D23" s="285">
        <f t="shared" si="3"/>
        <v>10086.432000000001</v>
      </c>
      <c r="E23" s="142">
        <v>4767.43</v>
      </c>
      <c r="F23" s="90">
        <f>+Facturas!G36+Facturas!G37</f>
        <v>7000</v>
      </c>
      <c r="G23" s="78">
        <f t="shared" si="0"/>
        <v>12319.002</v>
      </c>
      <c r="H23" s="386">
        <f>7379.451+1473.5</f>
        <v>8852.9510000000009</v>
      </c>
      <c r="I23" s="107">
        <f t="shared" si="1"/>
        <v>-3466.0509999999995</v>
      </c>
      <c r="J23" s="107">
        <f>+J22+I23</f>
        <v>-3187.0460000000003</v>
      </c>
      <c r="K23" s="138">
        <f t="shared" si="2"/>
        <v>-34260744.5</v>
      </c>
    </row>
    <row r="24" spans="2:13" x14ac:dyDescent="0.15">
      <c r="B24" s="18">
        <v>18</v>
      </c>
      <c r="C24" s="25" t="str">
        <f>+'G. Corriente'!C24</f>
        <v>M</v>
      </c>
      <c r="D24" s="285">
        <f t="shared" si="3"/>
        <v>8852.9510000000009</v>
      </c>
      <c r="E24" s="142">
        <v>5163.7</v>
      </c>
      <c r="F24" s="78">
        <f>+Facturas!G38+Facturas!G39</f>
        <v>6800</v>
      </c>
      <c r="G24" s="78">
        <f t="shared" si="0"/>
        <v>10489.251</v>
      </c>
      <c r="H24" s="386">
        <f>9281.581+4787</f>
        <v>14068.581</v>
      </c>
      <c r="I24" s="107">
        <f t="shared" si="1"/>
        <v>3579.33</v>
      </c>
      <c r="J24" s="107">
        <f t="shared" si="4"/>
        <v>392.28399999999965</v>
      </c>
      <c r="K24" s="138">
        <f t="shared" si="2"/>
        <v>4217052.9999999963</v>
      </c>
    </row>
    <row r="25" spans="2:13" x14ac:dyDescent="0.15">
      <c r="B25" s="18">
        <v>19</v>
      </c>
      <c r="C25" s="25" t="str">
        <f>+'G. Corriente'!C25</f>
        <v>J</v>
      </c>
      <c r="D25" s="285">
        <f t="shared" si="3"/>
        <v>14068.581</v>
      </c>
      <c r="E25" s="142">
        <v>4795.83</v>
      </c>
      <c r="F25" s="90">
        <f>+Facturas!G40+Facturas!G41</f>
        <v>0</v>
      </c>
      <c r="G25" s="78">
        <f t="shared" si="0"/>
        <v>9272.7510000000002</v>
      </c>
      <c r="H25" s="386">
        <f>5423.4+3854.757</f>
        <v>9278.1569999999992</v>
      </c>
      <c r="I25" s="107">
        <f t="shared" si="1"/>
        <v>5.4059999999990396</v>
      </c>
      <c r="J25" s="107">
        <f t="shared" si="4"/>
        <v>397.68999999999869</v>
      </c>
      <c r="K25" s="138">
        <f t="shared" si="2"/>
        <v>4275167.499999986</v>
      </c>
    </row>
    <row r="26" spans="2:13" x14ac:dyDescent="0.15">
      <c r="B26" s="18">
        <v>20</v>
      </c>
      <c r="C26" s="25" t="str">
        <f>+'G. Corriente'!C26</f>
        <v>V</v>
      </c>
      <c r="D26" s="285">
        <f t="shared" si="3"/>
        <v>9278.1569999999992</v>
      </c>
      <c r="E26" s="142">
        <v>5219.6400000000003</v>
      </c>
      <c r="F26" s="90">
        <f>+Facturas!G42+Facturas!G43</f>
        <v>6300</v>
      </c>
      <c r="G26" s="78">
        <f t="shared" si="0"/>
        <v>10358.517</v>
      </c>
      <c r="H26" s="386">
        <f>6626.98+3803.535</f>
        <v>10430.514999999999</v>
      </c>
      <c r="I26" s="107">
        <f t="shared" si="1"/>
        <v>71.997999999999593</v>
      </c>
      <c r="J26" s="107">
        <f t="shared" si="4"/>
        <v>469.68799999999828</v>
      </c>
      <c r="K26" s="138">
        <f t="shared" si="2"/>
        <v>5049145.9999999814</v>
      </c>
    </row>
    <row r="27" spans="2:13" x14ac:dyDescent="0.15">
      <c r="B27" s="18">
        <v>21</v>
      </c>
      <c r="C27" s="25" t="str">
        <f>+'G. Corriente'!C27</f>
        <v>S</v>
      </c>
      <c r="D27" s="285">
        <f t="shared" si="3"/>
        <v>10430.514999999999</v>
      </c>
      <c r="E27" s="142">
        <v>2986.4</v>
      </c>
      <c r="F27" s="78">
        <f>+Facturas!G44+Facturas!G45</f>
        <v>2800</v>
      </c>
      <c r="G27" s="78">
        <f t="shared" si="0"/>
        <v>10244.115</v>
      </c>
      <c r="H27" s="386">
        <f>7281.371+2887.646</f>
        <v>10169.017</v>
      </c>
      <c r="I27" s="107">
        <f t="shared" si="1"/>
        <v>-75.097999999999956</v>
      </c>
      <c r="J27" s="107">
        <f t="shared" si="4"/>
        <v>394.58999999999833</v>
      </c>
      <c r="K27" s="138">
        <f t="shared" si="2"/>
        <v>4241842.4999999823</v>
      </c>
    </row>
    <row r="28" spans="2:13" x14ac:dyDescent="0.15">
      <c r="B28" s="18">
        <v>22</v>
      </c>
      <c r="C28" s="25" t="str">
        <f>+'G. Corriente'!C28</f>
        <v>D</v>
      </c>
      <c r="D28" s="285">
        <f t="shared" si="3"/>
        <v>10169.017</v>
      </c>
      <c r="E28" s="142">
        <v>1422.48</v>
      </c>
      <c r="F28" s="90">
        <f>+Facturas!G46+Facturas!G47</f>
        <v>2800</v>
      </c>
      <c r="G28" s="78">
        <f t="shared" si="0"/>
        <v>11546.537</v>
      </c>
      <c r="H28" s="386">
        <f>9463.241+2112.907</f>
        <v>11576.148000000001</v>
      </c>
      <c r="I28" s="107">
        <f t="shared" si="1"/>
        <v>29.611000000000786</v>
      </c>
      <c r="J28" s="107">
        <f t="shared" si="4"/>
        <v>424.20099999999911</v>
      </c>
      <c r="K28" s="138">
        <f t="shared" si="2"/>
        <v>4560160.7499999907</v>
      </c>
    </row>
    <row r="29" spans="2:13" x14ac:dyDescent="0.15">
      <c r="B29" s="18">
        <v>23</v>
      </c>
      <c r="C29" s="118" t="str">
        <f>+'G. Corriente'!C29</f>
        <v>L</v>
      </c>
      <c r="D29" s="285">
        <f t="shared" si="3"/>
        <v>11576.148000000001</v>
      </c>
      <c r="E29" s="142">
        <v>5211.99</v>
      </c>
      <c r="F29" s="90">
        <f>+Facturas!G48+Facturas!G49</f>
        <v>2800</v>
      </c>
      <c r="G29" s="78">
        <f t="shared" si="0"/>
        <v>9164.1580000000013</v>
      </c>
      <c r="H29" s="386">
        <f>6212.931+2915.351</f>
        <v>9128.2819999999992</v>
      </c>
      <c r="I29" s="107">
        <f t="shared" si="1"/>
        <v>-35.876000000002023</v>
      </c>
      <c r="J29" s="107">
        <f t="shared" si="4"/>
        <v>388.32499999999709</v>
      </c>
      <c r="K29" s="138">
        <f t="shared" si="2"/>
        <v>4174493.7499999688</v>
      </c>
    </row>
    <row r="30" spans="2:13" x14ac:dyDescent="0.15">
      <c r="B30" s="18">
        <v>24</v>
      </c>
      <c r="C30" s="25" t="str">
        <f>+'G. Corriente'!C30</f>
        <v>M</v>
      </c>
      <c r="D30" s="285">
        <f t="shared" si="3"/>
        <v>9128.2819999999992</v>
      </c>
      <c r="E30" s="142">
        <v>4989.7299999999996</v>
      </c>
      <c r="F30" s="78">
        <f>+Facturas!G50+Facturas!G51</f>
        <v>4600</v>
      </c>
      <c r="G30" s="78">
        <f t="shared" si="0"/>
        <v>8738.5519999999997</v>
      </c>
      <c r="H30" s="386">
        <f>7949.73+771.813</f>
        <v>8721.5429999999997</v>
      </c>
      <c r="I30" s="107">
        <f>IF(E30=0,0,+H30-G30)</f>
        <v>-17.009000000000015</v>
      </c>
      <c r="J30" s="107">
        <f t="shared" ref="J30:J35" si="5">+J29+I30</f>
        <v>371.31599999999708</v>
      </c>
      <c r="K30" s="138">
        <f t="shared" si="2"/>
        <v>3991646.9999999683</v>
      </c>
    </row>
    <row r="31" spans="2:13" x14ac:dyDescent="0.15">
      <c r="B31" s="18">
        <v>25</v>
      </c>
      <c r="C31" s="25" t="str">
        <f>+'G. Corriente'!C31</f>
        <v>M</v>
      </c>
      <c r="D31" s="285">
        <f t="shared" si="3"/>
        <v>8721.5429999999997</v>
      </c>
      <c r="E31" s="142">
        <v>5517.01</v>
      </c>
      <c r="F31" s="90">
        <f>+Facturas!G52+Facturas!G53</f>
        <v>5800</v>
      </c>
      <c r="G31" s="78">
        <f t="shared" si="0"/>
        <v>9004.5329999999994</v>
      </c>
      <c r="H31" s="386">
        <f>4840.701+4272.59</f>
        <v>9113.2910000000011</v>
      </c>
      <c r="I31" s="107">
        <f t="shared" si="1"/>
        <v>108.75800000000163</v>
      </c>
      <c r="J31" s="107">
        <f t="shared" si="5"/>
        <v>480.0739999999987</v>
      </c>
      <c r="K31" s="138">
        <f t="shared" si="2"/>
        <v>5160795.499999986</v>
      </c>
    </row>
    <row r="32" spans="2:13" x14ac:dyDescent="0.15">
      <c r="B32" s="18">
        <v>26</v>
      </c>
      <c r="C32" s="25" t="str">
        <f>+'G. Corriente'!C32</f>
        <v>J</v>
      </c>
      <c r="D32" s="285">
        <f t="shared" si="3"/>
        <v>9113.2910000000011</v>
      </c>
      <c r="E32" s="142">
        <v>4652.25</v>
      </c>
      <c r="F32" s="90">
        <f>+Facturas!G54+Facturas!G55</f>
        <v>4000</v>
      </c>
      <c r="G32" s="78">
        <f t="shared" si="0"/>
        <v>8461.0410000000011</v>
      </c>
      <c r="H32" s="386">
        <f>4155.88+4248.942</f>
        <v>8404.8220000000001</v>
      </c>
      <c r="I32" s="107">
        <f t="shared" si="1"/>
        <v>-56.21900000000096</v>
      </c>
      <c r="J32" s="107">
        <f t="shared" si="5"/>
        <v>423.85499999999774</v>
      </c>
      <c r="K32" s="138">
        <f t="shared" si="2"/>
        <v>4556441.2499999758</v>
      </c>
      <c r="M32" s="247"/>
    </row>
    <row r="33" spans="2:14" x14ac:dyDescent="0.15">
      <c r="B33" s="18">
        <v>27</v>
      </c>
      <c r="C33" s="25" t="str">
        <f>+'G. Corriente'!C33</f>
        <v>V</v>
      </c>
      <c r="D33" s="285">
        <f t="shared" si="3"/>
        <v>8404.8220000000001</v>
      </c>
      <c r="E33" s="142">
        <v>5105.1499999999996</v>
      </c>
      <c r="F33" s="78">
        <f>+Facturas!G56+Facturas!G57</f>
        <v>11600</v>
      </c>
      <c r="G33" s="78">
        <f t="shared" si="0"/>
        <v>14899.672</v>
      </c>
      <c r="H33" s="386">
        <f>5529.241+3136.036</f>
        <v>8665.277</v>
      </c>
      <c r="I33" s="107">
        <f t="shared" si="1"/>
        <v>-6234.3950000000004</v>
      </c>
      <c r="J33" s="107">
        <f t="shared" si="5"/>
        <v>-5810.5400000000027</v>
      </c>
      <c r="K33" s="138">
        <f t="shared" si="2"/>
        <v>-62463305.00000003</v>
      </c>
    </row>
    <row r="34" spans="2:14" x14ac:dyDescent="0.15">
      <c r="B34" s="18">
        <v>28</v>
      </c>
      <c r="C34" s="25" t="str">
        <f>+'G. Corriente'!C34</f>
        <v>S</v>
      </c>
      <c r="D34" s="285">
        <f t="shared" si="3"/>
        <v>8665.277</v>
      </c>
      <c r="E34" s="142">
        <v>2964.72</v>
      </c>
      <c r="F34" s="90">
        <f>+Facturas!G58+Facturas!G59</f>
        <v>2800</v>
      </c>
      <c r="G34" s="78">
        <f t="shared" si="0"/>
        <v>8500.5570000000007</v>
      </c>
      <c r="H34" s="386">
        <f>9886+4906</f>
        <v>14792</v>
      </c>
      <c r="I34" s="107">
        <f t="shared" si="1"/>
        <v>6291.4429999999993</v>
      </c>
      <c r="J34" s="107">
        <f t="shared" si="5"/>
        <v>480.90299999999661</v>
      </c>
      <c r="K34" s="138">
        <f t="shared" si="2"/>
        <v>5169707.2499999637</v>
      </c>
    </row>
    <row r="35" spans="2:14" x14ac:dyDescent="0.15">
      <c r="B35" s="18">
        <v>29</v>
      </c>
      <c r="C35" s="25" t="str">
        <f>+'G. Corriente'!C35</f>
        <v>D</v>
      </c>
      <c r="D35" s="285">
        <f t="shared" si="3"/>
        <v>14792</v>
      </c>
      <c r="E35" s="142"/>
      <c r="F35" s="90">
        <f>+Facturas!G60+Facturas!G61</f>
        <v>0</v>
      </c>
      <c r="G35" s="78">
        <f t="shared" si="0"/>
        <v>14792</v>
      </c>
      <c r="H35" s="386"/>
      <c r="I35" s="107">
        <f>IF(E35=0,0,+H35-G35)</f>
        <v>0</v>
      </c>
      <c r="J35" s="107">
        <f t="shared" si="5"/>
        <v>480.90299999999661</v>
      </c>
      <c r="K35" s="138">
        <f t="shared" si="2"/>
        <v>5169707.2499999637</v>
      </c>
    </row>
    <row r="36" spans="2:14" x14ac:dyDescent="0.15">
      <c r="B36" s="18">
        <v>30</v>
      </c>
      <c r="C36" s="118" t="str">
        <f>+'G. Corriente'!C36</f>
        <v>L</v>
      </c>
      <c r="D36" s="285">
        <f>+H35</f>
        <v>0</v>
      </c>
      <c r="E36" s="142"/>
      <c r="F36" s="78">
        <f>+Facturas!G62+Facturas!G63</f>
        <v>0</v>
      </c>
      <c r="G36" s="78">
        <f t="shared" si="0"/>
        <v>0</v>
      </c>
      <c r="H36" s="386"/>
      <c r="I36" s="107">
        <f>IF(E36=0,0,+H36-G36)</f>
        <v>0</v>
      </c>
      <c r="J36" s="107">
        <f>+J35+I36</f>
        <v>480.90299999999661</v>
      </c>
      <c r="K36" s="138">
        <f t="shared" si="2"/>
        <v>5169707.2499999637</v>
      </c>
      <c r="N36" s="282"/>
    </row>
    <row r="37" spans="2:14" ht="14" thickBot="1" x14ac:dyDescent="0.2">
      <c r="B37" s="19">
        <v>31</v>
      </c>
      <c r="C37" s="26" t="str">
        <f>+'G. Corriente'!C37</f>
        <v>M</v>
      </c>
      <c r="D37" s="385">
        <f>+H36</f>
        <v>0</v>
      </c>
      <c r="E37" s="274"/>
      <c r="F37" s="284">
        <f>+Facturas!G64+Facturas!G65</f>
        <v>0</v>
      </c>
      <c r="G37" s="124">
        <f t="shared" si="0"/>
        <v>0</v>
      </c>
      <c r="H37" s="406"/>
      <c r="I37" s="139">
        <f t="shared" si="1"/>
        <v>0</v>
      </c>
      <c r="J37" s="139">
        <f t="shared" si="4"/>
        <v>480.90299999999661</v>
      </c>
      <c r="K37" s="287">
        <f t="shared" si="2"/>
        <v>5169707.2499999637</v>
      </c>
    </row>
    <row r="38" spans="2:14" ht="14" thickBot="1" x14ac:dyDescent="0.2">
      <c r="B38" s="28"/>
      <c r="C38" s="28"/>
      <c r="D38" s="28"/>
      <c r="E38" s="283">
        <f>SUM(E7:E37)</f>
        <v>121740.32999999997</v>
      </c>
      <c r="F38" s="331">
        <f>SUM(F7:F37)</f>
        <v>123400</v>
      </c>
      <c r="G38" s="28"/>
      <c r="H38" s="28"/>
      <c r="I38" s="28"/>
      <c r="J38" s="28"/>
      <c r="K38" s="28"/>
    </row>
    <row r="39" spans="2:14" ht="14" thickBot="1" x14ac:dyDescent="0.2">
      <c r="D39" s="167" t="s">
        <v>94</v>
      </c>
      <c r="E39" s="205">
        <f>+AVERAGEIF(E7:E37,"&gt;0",E7:E37)</f>
        <v>4347.8689285714272</v>
      </c>
      <c r="F39" s="204">
        <f>+AVERAGEIF(F7:F37,"&gt;0",F7:F37)</f>
        <v>5141.666666666667</v>
      </c>
    </row>
    <row r="40" spans="2:14" x14ac:dyDescent="0.15">
      <c r="D40">
        <f>+'G. Corriente'!D40</f>
        <v>31</v>
      </c>
      <c r="E40" s="269">
        <f>+D40*E39</f>
        <v>134783.93678571424</v>
      </c>
      <c r="F40" s="234" t="e">
        <f>+E40/Presupuesto!#REF!</f>
        <v>#REF!</v>
      </c>
    </row>
    <row r="42" spans="2:14" x14ac:dyDescent="0.15">
      <c r="E42" s="282"/>
    </row>
    <row r="45" spans="2:14" x14ac:dyDescent="0.15">
      <c r="G45" s="146"/>
      <c r="H45" s="146"/>
    </row>
  </sheetData>
  <mergeCells count="1">
    <mergeCell ref="B6:C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N41"/>
  <sheetViews>
    <sheetView tabSelected="1" zoomScale="120" zoomScaleNormal="120" workbookViewId="0">
      <selection activeCell="H35" sqref="H35"/>
    </sheetView>
  </sheetViews>
  <sheetFormatPr baseColWidth="10" defaultColWidth="10.83203125" defaultRowHeight="13" x14ac:dyDescent="0.15"/>
  <cols>
    <col min="2" max="2" width="3" bestFit="1" customWidth="1"/>
    <col min="3" max="3" width="3.6640625" bestFit="1" customWidth="1"/>
    <col min="11" max="11" width="15.5" bestFit="1" customWidth="1"/>
    <col min="13" max="13" width="13" bestFit="1" customWidth="1"/>
    <col min="21" max="21" width="16" bestFit="1" customWidth="1"/>
  </cols>
  <sheetData>
    <row r="3" spans="2:13" x14ac:dyDescent="0.15">
      <c r="D3" s="76" t="s">
        <v>39</v>
      </c>
      <c r="E3" s="76" t="s">
        <v>41</v>
      </c>
      <c r="F3" s="76" t="s">
        <v>42</v>
      </c>
      <c r="G3" s="76" t="s">
        <v>41</v>
      </c>
      <c r="H3" s="76" t="s">
        <v>42</v>
      </c>
      <c r="I3" s="76" t="s">
        <v>41</v>
      </c>
      <c r="J3" s="76" t="s">
        <v>42</v>
      </c>
    </row>
    <row r="4" spans="2:13" x14ac:dyDescent="0.15">
      <c r="D4" s="76" t="s">
        <v>66</v>
      </c>
      <c r="E4" s="76">
        <v>19770</v>
      </c>
      <c r="F4" s="83">
        <v>46023</v>
      </c>
      <c r="G4" s="76">
        <v>18070</v>
      </c>
      <c r="H4" s="83">
        <v>46060</v>
      </c>
      <c r="I4" s="76"/>
      <c r="J4" s="83"/>
    </row>
    <row r="5" spans="2:13" ht="14" thickBot="1" x14ac:dyDescent="0.2"/>
    <row r="6" spans="2:13" ht="14" thickBot="1" x14ac:dyDescent="0.2">
      <c r="B6" s="569" t="s">
        <v>1</v>
      </c>
      <c r="C6" s="570"/>
      <c r="D6" s="75" t="s">
        <v>2</v>
      </c>
      <c r="E6" s="94" t="s">
        <v>3</v>
      </c>
      <c r="F6" s="75" t="s">
        <v>4</v>
      </c>
      <c r="G6" s="75" t="s">
        <v>43</v>
      </c>
      <c r="H6" s="94" t="s">
        <v>5</v>
      </c>
      <c r="I6" s="75" t="s">
        <v>44</v>
      </c>
      <c r="J6" s="75" t="s">
        <v>45</v>
      </c>
      <c r="K6" s="136" t="s">
        <v>46</v>
      </c>
    </row>
    <row r="7" spans="2:13" ht="14" thickBot="1" x14ac:dyDescent="0.2">
      <c r="B7" s="23">
        <v>1</v>
      </c>
      <c r="C7" s="249" t="str">
        <f>+'G. Corriente'!C7</f>
        <v>D</v>
      </c>
      <c r="D7" s="406">
        <v>2194.9899999999998</v>
      </c>
      <c r="E7" s="248">
        <v>473.53</v>
      </c>
      <c r="F7" s="119">
        <f>+Facturas!E4+Facturas!E5</f>
        <v>0</v>
      </c>
      <c r="G7" s="119">
        <f>+D7+F7-E7</f>
        <v>1721.4599999999998</v>
      </c>
      <c r="H7" s="405">
        <v>1712.921</v>
      </c>
      <c r="I7" s="162">
        <f>IF(E7=0,0,+H7-G7)</f>
        <v>-8.5389999999997599</v>
      </c>
      <c r="J7" s="162">
        <f>+I7</f>
        <v>-8.5389999999997599</v>
      </c>
      <c r="K7" s="140">
        <f>+J7*$E$4</f>
        <v>-168816.02999999525</v>
      </c>
      <c r="L7" s="233"/>
      <c r="M7" s="233"/>
    </row>
    <row r="8" spans="2:13" x14ac:dyDescent="0.15">
      <c r="B8" s="18">
        <v>2</v>
      </c>
      <c r="C8" s="272" t="str">
        <f>+'G. Corriente'!C8</f>
        <v>L</v>
      </c>
      <c r="D8" s="285">
        <f>+H7</f>
        <v>1712.921</v>
      </c>
      <c r="E8" s="142">
        <v>215.37</v>
      </c>
      <c r="F8" s="78">
        <f>+Facturas!E6+Facturas!E7</f>
        <v>0</v>
      </c>
      <c r="G8" s="78">
        <f t="shared" ref="G8:G37" si="0">+D8+F8-E8</f>
        <v>1497.5509999999999</v>
      </c>
      <c r="H8" s="386">
        <v>1530</v>
      </c>
      <c r="I8" s="107">
        <f t="shared" ref="I8:I37" si="1">IF(E8=0,0,+H8-G8)</f>
        <v>32.449000000000069</v>
      </c>
      <c r="J8" s="107">
        <f>+I8+J7</f>
        <v>23.910000000000309</v>
      </c>
      <c r="K8" s="138">
        <f t="shared" ref="K8:K37" si="2">+J8*$E$4</f>
        <v>472700.70000000612</v>
      </c>
    </row>
    <row r="9" spans="2:13" x14ac:dyDescent="0.15">
      <c r="B9" s="18">
        <v>3</v>
      </c>
      <c r="C9" s="272" t="str">
        <f>+'G. Corriente'!C9</f>
        <v>M</v>
      </c>
      <c r="D9" s="108">
        <f t="shared" ref="D9:D37" si="3">+H8</f>
        <v>1530</v>
      </c>
      <c r="E9" s="142">
        <v>332.29</v>
      </c>
      <c r="F9" s="78">
        <f>+Facturas!E8+Facturas!E9</f>
        <v>0</v>
      </c>
      <c r="G9" s="78">
        <f t="shared" si="0"/>
        <v>1197.71</v>
      </c>
      <c r="H9" s="386">
        <v>1227.75</v>
      </c>
      <c r="I9" s="107">
        <f t="shared" si="1"/>
        <v>30.039999999999964</v>
      </c>
      <c r="J9" s="107">
        <f t="shared" ref="J9:J37" si="4">+I9+J8</f>
        <v>53.950000000000273</v>
      </c>
      <c r="K9" s="138">
        <f t="shared" si="2"/>
        <v>1066591.5000000054</v>
      </c>
    </row>
    <row r="10" spans="2:13" x14ac:dyDescent="0.15">
      <c r="B10" s="18">
        <v>4</v>
      </c>
      <c r="C10" s="272" t="str">
        <f>+'G. Corriente'!C10</f>
        <v>M</v>
      </c>
      <c r="D10" s="108">
        <f t="shared" si="3"/>
        <v>1227.75</v>
      </c>
      <c r="E10" s="142">
        <v>300.41000000000003</v>
      </c>
      <c r="F10" s="78">
        <f>+Facturas!E10+Facturas!E11</f>
        <v>0</v>
      </c>
      <c r="G10" s="78">
        <f t="shared" si="0"/>
        <v>927.33999999999992</v>
      </c>
      <c r="H10" s="386">
        <v>844.66</v>
      </c>
      <c r="I10" s="107">
        <f t="shared" si="1"/>
        <v>-82.67999999999995</v>
      </c>
      <c r="J10" s="107">
        <f t="shared" si="4"/>
        <v>-28.729999999999677</v>
      </c>
      <c r="K10" s="138">
        <f t="shared" si="2"/>
        <v>-567992.09999999357</v>
      </c>
    </row>
    <row r="11" spans="2:13" x14ac:dyDescent="0.15">
      <c r="B11" s="18">
        <v>5</v>
      </c>
      <c r="C11" s="272" t="str">
        <f>+'G. Corriente'!C11</f>
        <v>J</v>
      </c>
      <c r="D11" s="108">
        <f t="shared" si="3"/>
        <v>844.66</v>
      </c>
      <c r="E11" s="142">
        <v>86.21</v>
      </c>
      <c r="F11" s="78">
        <f>+Facturas!E12+Facturas!E13</f>
        <v>1800</v>
      </c>
      <c r="G11" s="78">
        <f t="shared" si="0"/>
        <v>2558.4499999999998</v>
      </c>
      <c r="H11" s="386">
        <v>2524.3409999999999</v>
      </c>
      <c r="I11" s="107">
        <f t="shared" si="1"/>
        <v>-34.108999999999924</v>
      </c>
      <c r="J11" s="107">
        <f t="shared" si="4"/>
        <v>-62.838999999999601</v>
      </c>
      <c r="K11" s="138">
        <f t="shared" si="2"/>
        <v>-1242327.0299999921</v>
      </c>
    </row>
    <row r="12" spans="2:13" x14ac:dyDescent="0.15">
      <c r="B12" s="18">
        <v>6</v>
      </c>
      <c r="C12" s="272" t="str">
        <f>+'G. Corriente'!C12</f>
        <v>V</v>
      </c>
      <c r="D12" s="108">
        <f t="shared" si="3"/>
        <v>2524.3409999999999</v>
      </c>
      <c r="E12" s="142">
        <v>331.14</v>
      </c>
      <c r="F12" s="78">
        <f>+Facturas!E14+Facturas!E15</f>
        <v>0</v>
      </c>
      <c r="G12" s="78">
        <f t="shared" si="0"/>
        <v>2193.201</v>
      </c>
      <c r="H12" s="386">
        <v>2276.9</v>
      </c>
      <c r="I12" s="107">
        <f t="shared" si="1"/>
        <v>83.699000000000069</v>
      </c>
      <c r="J12" s="107">
        <f t="shared" si="4"/>
        <v>20.860000000000468</v>
      </c>
      <c r="K12" s="138">
        <f t="shared" si="2"/>
        <v>412402.20000000927</v>
      </c>
    </row>
    <row r="13" spans="2:13" x14ac:dyDescent="0.15">
      <c r="B13" s="18">
        <v>7</v>
      </c>
      <c r="C13" s="272" t="str">
        <f>+'G. Corriente'!C13</f>
        <v>S</v>
      </c>
      <c r="D13" s="108">
        <f t="shared" si="3"/>
        <v>2276.9</v>
      </c>
      <c r="E13" s="142">
        <v>658.39</v>
      </c>
      <c r="F13" s="78">
        <f>+Facturas!E16+Facturas!E17</f>
        <v>0</v>
      </c>
      <c r="G13" s="78">
        <f t="shared" si="0"/>
        <v>1618.5100000000002</v>
      </c>
      <c r="H13" s="386">
        <v>1608.49</v>
      </c>
      <c r="I13" s="107">
        <f t="shared" si="1"/>
        <v>-10.020000000000209</v>
      </c>
      <c r="J13" s="107">
        <f t="shared" si="4"/>
        <v>10.840000000000259</v>
      </c>
      <c r="K13" s="138">
        <f t="shared" si="2"/>
        <v>214306.80000000511</v>
      </c>
    </row>
    <row r="14" spans="2:13" x14ac:dyDescent="0.15">
      <c r="B14" s="18">
        <v>8</v>
      </c>
      <c r="C14" s="272" t="str">
        <f>+'G. Corriente'!C14</f>
        <v>D</v>
      </c>
      <c r="D14" s="108">
        <f t="shared" si="3"/>
        <v>1608.49</v>
      </c>
      <c r="E14" s="142">
        <v>413.01</v>
      </c>
      <c r="F14" s="78">
        <f>+Facturas!E18+Facturas!E19</f>
        <v>0</v>
      </c>
      <c r="G14" s="78">
        <f t="shared" si="0"/>
        <v>1195.48</v>
      </c>
      <c r="H14" s="386">
        <v>1227.75</v>
      </c>
      <c r="I14" s="107">
        <f t="shared" si="1"/>
        <v>32.269999999999982</v>
      </c>
      <c r="J14" s="107">
        <f t="shared" si="4"/>
        <v>43.110000000000241</v>
      </c>
      <c r="K14" s="138">
        <f t="shared" si="2"/>
        <v>852284.70000000473</v>
      </c>
    </row>
    <row r="15" spans="2:13" x14ac:dyDescent="0.15">
      <c r="B15" s="18">
        <v>9</v>
      </c>
      <c r="C15" s="272" t="str">
        <f>+'G. Corriente'!C15</f>
        <v>L</v>
      </c>
      <c r="D15" s="108">
        <f t="shared" si="3"/>
        <v>1227.75</v>
      </c>
      <c r="E15" s="142">
        <v>290.11</v>
      </c>
      <c r="F15" s="78">
        <f>+Facturas!E20+Facturas!E21</f>
        <v>0</v>
      </c>
      <c r="G15" s="78">
        <f t="shared" si="0"/>
        <v>937.64</v>
      </c>
      <c r="H15" s="386">
        <v>961.35</v>
      </c>
      <c r="I15" s="107">
        <f t="shared" si="1"/>
        <v>23.710000000000036</v>
      </c>
      <c r="J15" s="107">
        <f t="shared" si="4"/>
        <v>66.820000000000277</v>
      </c>
      <c r="K15" s="138">
        <f t="shared" si="2"/>
        <v>1321031.4000000055</v>
      </c>
    </row>
    <row r="16" spans="2:13" x14ac:dyDescent="0.15">
      <c r="B16" s="18">
        <v>10</v>
      </c>
      <c r="C16" s="272" t="str">
        <f>+'G. Corriente'!C16</f>
        <v>M</v>
      </c>
      <c r="D16" s="108">
        <f t="shared" si="3"/>
        <v>961.35</v>
      </c>
      <c r="E16" s="142">
        <v>289.67</v>
      </c>
      <c r="F16" s="78">
        <f>+Facturas!E22+Facturas!E23</f>
        <v>1500</v>
      </c>
      <c r="G16" s="78">
        <f t="shared" si="0"/>
        <v>2171.6799999999998</v>
      </c>
      <c r="H16" s="386">
        <v>2113.46</v>
      </c>
      <c r="I16" s="107">
        <f t="shared" si="1"/>
        <v>-58.2199999999998</v>
      </c>
      <c r="J16" s="107">
        <f t="shared" si="4"/>
        <v>8.6000000000004775</v>
      </c>
      <c r="K16" s="138">
        <f t="shared" si="2"/>
        <v>170022.00000000943</v>
      </c>
    </row>
    <row r="17" spans="2:13" x14ac:dyDescent="0.15">
      <c r="B17" s="18">
        <v>11</v>
      </c>
      <c r="C17" s="272" t="str">
        <f>+'G. Corriente'!C17</f>
        <v>M</v>
      </c>
      <c r="D17" s="108">
        <f t="shared" si="3"/>
        <v>2113.46</v>
      </c>
      <c r="E17" s="142">
        <v>329.78</v>
      </c>
      <c r="F17" s="78">
        <f>+Facturas!E24+Facturas!E25</f>
        <v>0</v>
      </c>
      <c r="G17" s="78">
        <f t="shared" si="0"/>
        <v>1783.68</v>
      </c>
      <c r="H17" s="386">
        <v>1765.5409999999999</v>
      </c>
      <c r="I17" s="107">
        <f t="shared" si="1"/>
        <v>-18.139000000000124</v>
      </c>
      <c r="J17" s="107">
        <f t="shared" si="4"/>
        <v>-9.5389999999996462</v>
      </c>
      <c r="K17" s="138">
        <f t="shared" si="2"/>
        <v>-188586.02999999301</v>
      </c>
    </row>
    <row r="18" spans="2:13" x14ac:dyDescent="0.15">
      <c r="B18" s="18">
        <v>12</v>
      </c>
      <c r="C18" s="272" t="str">
        <f>+'G. Corriente'!C18</f>
        <v>J</v>
      </c>
      <c r="D18" s="108">
        <f t="shared" si="3"/>
        <v>1765.5409999999999</v>
      </c>
      <c r="E18" s="142">
        <v>303.04000000000002</v>
      </c>
      <c r="F18" s="78">
        <f>+Facturas!E26+Facturas!E27</f>
        <v>0</v>
      </c>
      <c r="G18" s="78">
        <f t="shared" si="0"/>
        <v>1462.501</v>
      </c>
      <c r="H18" s="386">
        <v>1505.22</v>
      </c>
      <c r="I18" s="107">
        <f t="shared" si="1"/>
        <v>42.719000000000051</v>
      </c>
      <c r="J18" s="107">
        <f t="shared" si="4"/>
        <v>33.180000000000405</v>
      </c>
      <c r="K18" s="138">
        <f t="shared" si="2"/>
        <v>655968.60000000801</v>
      </c>
    </row>
    <row r="19" spans="2:13" x14ac:dyDescent="0.15">
      <c r="B19" s="18">
        <v>13</v>
      </c>
      <c r="C19" s="272" t="str">
        <f>+'G. Corriente'!C19</f>
        <v>V</v>
      </c>
      <c r="D19" s="108">
        <f t="shared" si="3"/>
        <v>1505.22</v>
      </c>
      <c r="E19" s="142">
        <v>448.13</v>
      </c>
      <c r="F19" s="78">
        <f>+Facturas!E28+Facturas!E29</f>
        <v>0</v>
      </c>
      <c r="G19" s="78">
        <f t="shared" si="0"/>
        <v>1057.0900000000001</v>
      </c>
      <c r="H19" s="386">
        <v>1032.771</v>
      </c>
      <c r="I19" s="107">
        <f t="shared" si="1"/>
        <v>-24.319000000000187</v>
      </c>
      <c r="J19" s="107">
        <f t="shared" si="4"/>
        <v>8.8610000000002174</v>
      </c>
      <c r="K19" s="138">
        <f t="shared" si="2"/>
        <v>175181.97000000431</v>
      </c>
    </row>
    <row r="20" spans="2:13" x14ac:dyDescent="0.15">
      <c r="B20" s="18">
        <v>14</v>
      </c>
      <c r="C20" s="272" t="str">
        <f>+'G. Corriente'!C20</f>
        <v>S</v>
      </c>
      <c r="D20" s="108">
        <f t="shared" si="3"/>
        <v>1032.771</v>
      </c>
      <c r="E20" s="142">
        <v>802.91</v>
      </c>
      <c r="F20" s="78">
        <f>+Facturas!E30+Facturas!E31</f>
        <v>1800</v>
      </c>
      <c r="G20" s="78">
        <f>+D20+F20-E20</f>
        <v>2029.8609999999999</v>
      </c>
      <c r="H20" s="386">
        <v>2059.3310000000001</v>
      </c>
      <c r="I20" s="107">
        <f t="shared" si="1"/>
        <v>29.470000000000255</v>
      </c>
      <c r="J20" s="107">
        <f t="shared" si="4"/>
        <v>38.331000000000472</v>
      </c>
      <c r="K20" s="138">
        <f t="shared" si="2"/>
        <v>757803.87000000931</v>
      </c>
    </row>
    <row r="21" spans="2:13" x14ac:dyDescent="0.15">
      <c r="B21" s="18">
        <v>15</v>
      </c>
      <c r="C21" s="272" t="str">
        <f>+'G. Corriente'!C21</f>
        <v>D</v>
      </c>
      <c r="D21" s="108">
        <f t="shared" si="3"/>
        <v>2059.3310000000001</v>
      </c>
      <c r="E21" s="142">
        <v>454.83</v>
      </c>
      <c r="F21" s="78">
        <f>+Facturas!E32+Facturas!E33</f>
        <v>0</v>
      </c>
      <c r="G21" s="78">
        <f t="shared" si="0"/>
        <v>1604.5010000000002</v>
      </c>
      <c r="H21" s="386">
        <v>1582.57</v>
      </c>
      <c r="I21" s="107">
        <f t="shared" si="1"/>
        <v>-21.931000000000267</v>
      </c>
      <c r="J21" s="107">
        <f t="shared" si="4"/>
        <v>16.400000000000205</v>
      </c>
      <c r="K21" s="138">
        <f t="shared" si="2"/>
        <v>324228.00000000407</v>
      </c>
    </row>
    <row r="22" spans="2:13" x14ac:dyDescent="0.15">
      <c r="B22" s="18">
        <v>16</v>
      </c>
      <c r="C22" s="272" t="str">
        <f>+'G. Corriente'!C22</f>
        <v>L</v>
      </c>
      <c r="D22" s="108">
        <f t="shared" si="3"/>
        <v>1582.57</v>
      </c>
      <c r="E22" s="142">
        <v>299.92</v>
      </c>
      <c r="F22" s="78">
        <f>+Facturas!E34+Facturas!E35</f>
        <v>0</v>
      </c>
      <c r="G22" s="78">
        <f t="shared" si="0"/>
        <v>1282.6499999999999</v>
      </c>
      <c r="H22" s="386">
        <v>1327.48</v>
      </c>
      <c r="I22" s="107">
        <f t="shared" si="1"/>
        <v>44.830000000000155</v>
      </c>
      <c r="J22" s="107">
        <f t="shared" si="4"/>
        <v>61.230000000000359</v>
      </c>
      <c r="K22" s="138">
        <f t="shared" si="2"/>
        <v>1210517.1000000071</v>
      </c>
    </row>
    <row r="23" spans="2:13" x14ac:dyDescent="0.15">
      <c r="B23" s="18">
        <v>17</v>
      </c>
      <c r="C23" s="272" t="str">
        <f>+'G. Corriente'!C23</f>
        <v>M</v>
      </c>
      <c r="D23" s="108">
        <f t="shared" si="3"/>
        <v>1327.48</v>
      </c>
      <c r="E23" s="142">
        <v>318.64999999999998</v>
      </c>
      <c r="F23" s="78">
        <f>+Facturas!E36+Facturas!E37</f>
        <v>1800</v>
      </c>
      <c r="G23" s="78">
        <f t="shared" si="0"/>
        <v>2808.83</v>
      </c>
      <c r="H23" s="386">
        <v>937.77099999999996</v>
      </c>
      <c r="I23" s="107">
        <f t="shared" si="1"/>
        <v>-1871.059</v>
      </c>
      <c r="J23" s="107">
        <f t="shared" si="4"/>
        <v>-1809.8289999999997</v>
      </c>
      <c r="K23" s="138">
        <f t="shared" si="2"/>
        <v>-35780319.329999998</v>
      </c>
    </row>
    <row r="24" spans="2:13" x14ac:dyDescent="0.15">
      <c r="B24" s="18">
        <v>18</v>
      </c>
      <c r="C24" s="272" t="str">
        <f>+'G. Corriente'!C24</f>
        <v>M</v>
      </c>
      <c r="D24" s="108">
        <f t="shared" si="3"/>
        <v>937.77099999999996</v>
      </c>
      <c r="E24" s="142">
        <v>282.54000000000002</v>
      </c>
      <c r="F24" s="78">
        <f>+Facturas!E38+Facturas!E39</f>
        <v>0</v>
      </c>
      <c r="G24" s="78">
        <f t="shared" si="0"/>
        <v>655.23099999999999</v>
      </c>
      <c r="H24" s="386">
        <v>2496.75</v>
      </c>
      <c r="I24" s="107">
        <f t="shared" si="1"/>
        <v>1841.519</v>
      </c>
      <c r="J24" s="107">
        <f t="shared" si="4"/>
        <v>31.690000000000282</v>
      </c>
      <c r="K24" s="138">
        <f t="shared" si="2"/>
        <v>626511.30000000552</v>
      </c>
    </row>
    <row r="25" spans="2:13" x14ac:dyDescent="0.15">
      <c r="B25" s="18">
        <v>19</v>
      </c>
      <c r="C25" s="272" t="str">
        <f>+'G. Corriente'!C25</f>
        <v>J</v>
      </c>
      <c r="D25" s="108">
        <f t="shared" si="3"/>
        <v>2496.75</v>
      </c>
      <c r="E25" s="142">
        <v>340.1</v>
      </c>
      <c r="F25" s="78">
        <f>+Facturas!E40+Facturas!E41</f>
        <v>0</v>
      </c>
      <c r="G25" s="78">
        <f t="shared" si="0"/>
        <v>2156.65</v>
      </c>
      <c r="H25" s="386">
        <v>2140.5909999999999</v>
      </c>
      <c r="I25" s="107">
        <f t="shared" si="1"/>
        <v>-16.059000000000196</v>
      </c>
      <c r="J25" s="107">
        <f t="shared" si="4"/>
        <v>15.631000000000085</v>
      </c>
      <c r="K25" s="138">
        <f t="shared" si="2"/>
        <v>309024.87000000168</v>
      </c>
    </row>
    <row r="26" spans="2:13" x14ac:dyDescent="0.15">
      <c r="B26" s="18">
        <v>20</v>
      </c>
      <c r="C26" s="272" t="str">
        <f>+'G. Corriente'!C26</f>
        <v>V</v>
      </c>
      <c r="D26" s="108">
        <f t="shared" si="3"/>
        <v>2140.5909999999999</v>
      </c>
      <c r="E26" s="142">
        <v>452.06</v>
      </c>
      <c r="F26" s="78">
        <f>+Facturas!E42+Facturas!E43</f>
        <v>0</v>
      </c>
      <c r="G26" s="78">
        <f t="shared" si="0"/>
        <v>1688.5309999999999</v>
      </c>
      <c r="H26" s="386">
        <v>1765.5409999999999</v>
      </c>
      <c r="I26" s="107">
        <f t="shared" si="1"/>
        <v>77.009999999999991</v>
      </c>
      <c r="J26" s="107">
        <f t="shared" si="4"/>
        <v>92.641000000000076</v>
      </c>
      <c r="K26" s="138">
        <f t="shared" si="2"/>
        <v>1831512.5700000015</v>
      </c>
    </row>
    <row r="27" spans="2:13" x14ac:dyDescent="0.15">
      <c r="B27" s="18">
        <v>21</v>
      </c>
      <c r="C27" s="272" t="str">
        <f>+'G. Corriente'!C27</f>
        <v>S</v>
      </c>
      <c r="D27" s="108">
        <f t="shared" si="3"/>
        <v>1765.5409999999999</v>
      </c>
      <c r="E27" s="142">
        <v>754.92</v>
      </c>
      <c r="F27" s="78">
        <f>+Facturas!E44+Facturas!E45</f>
        <v>0</v>
      </c>
      <c r="G27" s="78">
        <f t="shared" si="0"/>
        <v>1010.621</v>
      </c>
      <c r="H27" s="386">
        <v>937.77099999999996</v>
      </c>
      <c r="I27" s="107">
        <f t="shared" si="1"/>
        <v>-72.850000000000023</v>
      </c>
      <c r="J27" s="107">
        <f t="shared" si="4"/>
        <v>19.791000000000054</v>
      </c>
      <c r="K27" s="138">
        <f t="shared" si="2"/>
        <v>391268.07000000105</v>
      </c>
    </row>
    <row r="28" spans="2:13" x14ac:dyDescent="0.15">
      <c r="B28" s="18">
        <v>22</v>
      </c>
      <c r="C28" s="272" t="str">
        <f>+'G. Corriente'!C28</f>
        <v>D</v>
      </c>
      <c r="D28" s="108">
        <f t="shared" si="3"/>
        <v>937.77099999999996</v>
      </c>
      <c r="E28" s="142">
        <v>611.25</v>
      </c>
      <c r="F28" s="78">
        <f>+Facturas!E46+Facturas!E47</f>
        <v>0</v>
      </c>
      <c r="G28" s="78">
        <f t="shared" si="0"/>
        <v>326.52099999999996</v>
      </c>
      <c r="H28" s="386">
        <v>341.87</v>
      </c>
      <c r="I28" s="107">
        <f t="shared" si="1"/>
        <v>15.349000000000046</v>
      </c>
      <c r="J28" s="107">
        <f t="shared" si="4"/>
        <v>35.1400000000001</v>
      </c>
      <c r="K28" s="138">
        <f t="shared" si="2"/>
        <v>694717.80000000203</v>
      </c>
    </row>
    <row r="29" spans="2:13" x14ac:dyDescent="0.15">
      <c r="B29" s="18">
        <v>23</v>
      </c>
      <c r="C29" s="272" t="str">
        <f>+'G. Corriente'!C29</f>
        <v>L</v>
      </c>
      <c r="D29" s="108">
        <f t="shared" si="3"/>
        <v>341.87</v>
      </c>
      <c r="E29" s="142">
        <v>354.5</v>
      </c>
      <c r="F29" s="78">
        <f>+Facturas!E48+Facturas!E49</f>
        <v>1800</v>
      </c>
      <c r="G29" s="78">
        <f t="shared" si="0"/>
        <v>1787.37</v>
      </c>
      <c r="H29" s="386">
        <v>1765.5409999999999</v>
      </c>
      <c r="I29" s="107">
        <f t="shared" si="1"/>
        <v>-21.828999999999951</v>
      </c>
      <c r="J29" s="107">
        <f t="shared" si="4"/>
        <v>13.311000000000149</v>
      </c>
      <c r="K29" s="138">
        <f t="shared" si="2"/>
        <v>263158.47000000294</v>
      </c>
    </row>
    <row r="30" spans="2:13" x14ac:dyDescent="0.15">
      <c r="B30" s="18">
        <v>24</v>
      </c>
      <c r="C30" s="272" t="str">
        <f>+'G. Corriente'!C30</f>
        <v>M</v>
      </c>
      <c r="D30" s="108">
        <f>+H29</f>
        <v>1765.5409999999999</v>
      </c>
      <c r="E30" s="142">
        <v>286.52</v>
      </c>
      <c r="F30" s="78">
        <f>+Facturas!E50+Facturas!E51</f>
        <v>0</v>
      </c>
      <c r="G30" s="78">
        <f t="shared" si="0"/>
        <v>1479.021</v>
      </c>
      <c r="H30" s="386">
        <v>1505.22</v>
      </c>
      <c r="I30" s="107">
        <f t="shared" si="1"/>
        <v>26.199000000000069</v>
      </c>
      <c r="J30" s="107">
        <f t="shared" si="4"/>
        <v>39.510000000000218</v>
      </c>
      <c r="K30" s="138">
        <f t="shared" si="2"/>
        <v>781112.70000000426</v>
      </c>
    </row>
    <row r="31" spans="2:13" x14ac:dyDescent="0.15">
      <c r="B31" s="18">
        <v>25</v>
      </c>
      <c r="C31" s="272" t="str">
        <f>+'G. Corriente'!C31</f>
        <v>M</v>
      </c>
      <c r="D31" s="108">
        <f t="shared" si="3"/>
        <v>1505.22</v>
      </c>
      <c r="E31" s="142">
        <v>338.36</v>
      </c>
      <c r="F31" s="78">
        <f>+Facturas!E52+Facturas!E53</f>
        <v>0</v>
      </c>
      <c r="G31" s="78">
        <f t="shared" si="0"/>
        <v>1166.8600000000001</v>
      </c>
      <c r="H31" s="386">
        <v>1129.47</v>
      </c>
      <c r="I31" s="107">
        <f t="shared" si="1"/>
        <v>-37.3900000000001</v>
      </c>
      <c r="J31" s="107">
        <f t="shared" si="4"/>
        <v>2.1200000000001182</v>
      </c>
      <c r="K31" s="138">
        <f t="shared" si="2"/>
        <v>41912.400000002337</v>
      </c>
    </row>
    <row r="32" spans="2:13" x14ac:dyDescent="0.15">
      <c r="B32" s="18">
        <v>26</v>
      </c>
      <c r="C32" s="272" t="str">
        <f>+'G. Corriente'!C32</f>
        <v>J</v>
      </c>
      <c r="D32" s="108">
        <f t="shared" si="3"/>
        <v>1129.47</v>
      </c>
      <c r="E32" s="142">
        <v>376.01</v>
      </c>
      <c r="F32" s="78">
        <f>+Facturas!E54+Facturas!E55</f>
        <v>1800</v>
      </c>
      <c r="G32" s="78">
        <f>+D32+F32-E32</f>
        <v>2553.46</v>
      </c>
      <c r="H32" s="386">
        <v>2551.94</v>
      </c>
      <c r="I32" s="107">
        <f t="shared" si="1"/>
        <v>-1.5199999999999818</v>
      </c>
      <c r="J32" s="107">
        <f t="shared" si="4"/>
        <v>0.60000000000013642</v>
      </c>
      <c r="K32" s="138">
        <f t="shared" si="2"/>
        <v>11862.000000002698</v>
      </c>
      <c r="M32" s="77"/>
    </row>
    <row r="33" spans="2:14" x14ac:dyDescent="0.15">
      <c r="B33" s="18">
        <v>27</v>
      </c>
      <c r="C33" s="272" t="str">
        <f>+'G. Corriente'!C33</f>
        <v>V</v>
      </c>
      <c r="D33" s="108">
        <f t="shared" si="3"/>
        <v>2551.94</v>
      </c>
      <c r="E33" s="142">
        <v>620.1</v>
      </c>
      <c r="F33" s="78">
        <f>+Facturas!E56+Facturas!E57</f>
        <v>0</v>
      </c>
      <c r="G33" s="78">
        <f>+D33+F33-E33</f>
        <v>1931.8400000000001</v>
      </c>
      <c r="H33" s="386">
        <v>1951.69</v>
      </c>
      <c r="I33" s="107">
        <f t="shared" si="1"/>
        <v>19.849999999999909</v>
      </c>
      <c r="J33" s="107">
        <f t="shared" si="4"/>
        <v>20.450000000000045</v>
      </c>
      <c r="K33" s="138">
        <f t="shared" si="2"/>
        <v>404296.50000000087</v>
      </c>
    </row>
    <row r="34" spans="2:14" x14ac:dyDescent="0.15">
      <c r="B34" s="18">
        <v>28</v>
      </c>
      <c r="C34" s="272" t="str">
        <f>+'G. Corriente'!C34</f>
        <v>S</v>
      </c>
      <c r="D34" s="108">
        <f t="shared" si="3"/>
        <v>1951.69</v>
      </c>
      <c r="E34" s="142">
        <v>892.73</v>
      </c>
      <c r="F34" s="78">
        <f>+Facturas!E58+Facturas!E59</f>
        <v>1800</v>
      </c>
      <c r="G34" s="78">
        <f t="shared" si="0"/>
        <v>2858.96</v>
      </c>
      <c r="H34" s="386">
        <v>2817.44</v>
      </c>
      <c r="I34" s="107">
        <f t="shared" si="1"/>
        <v>-41.519999999999982</v>
      </c>
      <c r="J34" s="107">
        <f t="shared" si="4"/>
        <v>-21.069999999999936</v>
      </c>
      <c r="K34" s="138">
        <f t="shared" si="2"/>
        <v>-416553.89999999874</v>
      </c>
    </row>
    <row r="35" spans="2:14" x14ac:dyDescent="0.15">
      <c r="B35" s="18">
        <v>29</v>
      </c>
      <c r="C35" s="272" t="str">
        <f>+'G. Corriente'!C35</f>
        <v>D</v>
      </c>
      <c r="D35" s="108">
        <f>+H34</f>
        <v>2817.44</v>
      </c>
      <c r="E35" s="142"/>
      <c r="F35" s="78">
        <f>+Facturas!E60+Facturas!E61</f>
        <v>0</v>
      </c>
      <c r="G35" s="78">
        <f t="shared" si="0"/>
        <v>2817.44</v>
      </c>
      <c r="H35" s="386"/>
      <c r="I35" s="107">
        <f t="shared" si="1"/>
        <v>0</v>
      </c>
      <c r="J35" s="107">
        <f t="shared" si="4"/>
        <v>-21.069999999999936</v>
      </c>
      <c r="K35" s="138">
        <f t="shared" si="2"/>
        <v>-416553.89999999874</v>
      </c>
    </row>
    <row r="36" spans="2:14" x14ac:dyDescent="0.15">
      <c r="B36" s="18">
        <v>30</v>
      </c>
      <c r="C36" s="272" t="str">
        <f>+'G. Corriente'!C36</f>
        <v>L</v>
      </c>
      <c r="D36" s="108">
        <f t="shared" si="3"/>
        <v>0</v>
      </c>
      <c r="E36" s="142"/>
      <c r="F36" s="78">
        <f>+Facturas!E62+Facturas!E63</f>
        <v>0</v>
      </c>
      <c r="G36" s="78">
        <f t="shared" si="0"/>
        <v>0</v>
      </c>
      <c r="H36" s="386"/>
      <c r="I36" s="107">
        <f t="shared" si="1"/>
        <v>0</v>
      </c>
      <c r="J36" s="107">
        <f t="shared" si="4"/>
        <v>-21.069999999999936</v>
      </c>
      <c r="K36" s="138">
        <f t="shared" si="2"/>
        <v>-416553.89999999874</v>
      </c>
      <c r="L36" s="282"/>
      <c r="N36" s="282"/>
    </row>
    <row r="37" spans="2:14" ht="14" thickBot="1" x14ac:dyDescent="0.2">
      <c r="B37" s="19">
        <v>31</v>
      </c>
      <c r="C37" s="273" t="str">
        <f>+'G. Corriente'!C37</f>
        <v>M</v>
      </c>
      <c r="D37" s="141">
        <f t="shared" si="3"/>
        <v>0</v>
      </c>
      <c r="E37" s="274"/>
      <c r="F37" s="124">
        <f>+Facturas!E64+Facturas!E65</f>
        <v>0</v>
      </c>
      <c r="G37" s="124">
        <f t="shared" si="0"/>
        <v>0</v>
      </c>
      <c r="H37" s="406"/>
      <c r="I37" s="139">
        <f t="shared" si="1"/>
        <v>0</v>
      </c>
      <c r="J37" s="139">
        <f t="shared" si="4"/>
        <v>-21.069999999999936</v>
      </c>
      <c r="K37" s="287">
        <f t="shared" si="2"/>
        <v>-416553.89999999874</v>
      </c>
    </row>
    <row r="38" spans="2:14" ht="14" thickBot="1" x14ac:dyDescent="0.2">
      <c r="B38" s="28"/>
      <c r="C38" s="28"/>
      <c r="D38" s="28"/>
      <c r="E38" s="251">
        <f>SUM(E7:E37)</f>
        <v>11656.480000000003</v>
      </c>
      <c r="F38" s="332">
        <f>SUM(F7:F37)</f>
        <v>12300</v>
      </c>
      <c r="G38" s="28"/>
      <c r="H38" s="28"/>
      <c r="I38" s="28"/>
      <c r="J38" s="28"/>
      <c r="K38" s="28"/>
    </row>
    <row r="39" spans="2:14" ht="14" thickBot="1" x14ac:dyDescent="0.2">
      <c r="D39" s="167" t="s">
        <v>94</v>
      </c>
      <c r="E39" s="205">
        <f>+AVERAGEIF(E7:E37,"&gt;0",E7:E37)</f>
        <v>416.30285714285725</v>
      </c>
      <c r="F39" s="204">
        <f>+AVERAGEIF(F7:F37,"&gt;0",F7:F37)</f>
        <v>1757.1428571428571</v>
      </c>
    </row>
    <row r="40" spans="2:14" x14ac:dyDescent="0.15">
      <c r="D40">
        <f>+'G. Corriente'!D40</f>
        <v>31</v>
      </c>
      <c r="E40" s="269">
        <f>+E39*D40</f>
        <v>12905.388571428575</v>
      </c>
      <c r="F40" s="234" t="e">
        <f>+E40/Presupuesto!#REF!</f>
        <v>#REF!</v>
      </c>
    </row>
    <row r="41" spans="2:14" x14ac:dyDescent="0.15">
      <c r="E41" s="282"/>
    </row>
  </sheetData>
  <mergeCells count="1">
    <mergeCell ref="B6:C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R70"/>
  <sheetViews>
    <sheetView topLeftCell="N1" zoomScale="120" zoomScaleNormal="120" workbookViewId="0">
      <selection activeCell="R43" sqref="R43"/>
    </sheetView>
  </sheetViews>
  <sheetFormatPr baseColWidth="10" defaultColWidth="10.83203125" defaultRowHeight="13" x14ac:dyDescent="0.15"/>
  <cols>
    <col min="1" max="1" width="3.33203125" customWidth="1"/>
    <col min="2" max="2" width="3" bestFit="1" customWidth="1"/>
    <col min="3" max="3" width="3.6640625" bestFit="1" customWidth="1"/>
    <col min="4" max="5" width="15.5" bestFit="1" customWidth="1"/>
    <col min="6" max="6" width="14" bestFit="1" customWidth="1"/>
    <col min="7" max="7" width="15.5" customWidth="1"/>
    <col min="8" max="8" width="11.33203125" style="104" customWidth="1"/>
    <col min="9" max="9" width="10.33203125" style="104" bestFit="1" customWidth="1"/>
    <col min="10" max="10" width="15.5" bestFit="1" customWidth="1"/>
    <col min="11" max="11" width="8.1640625" customWidth="1"/>
    <col min="12" max="12" width="15.5" bestFit="1" customWidth="1"/>
    <col min="13" max="13" width="6.33203125" bestFit="1" customWidth="1"/>
    <col min="14" max="14" width="11.5" customWidth="1"/>
    <col min="15" max="15" width="6.6640625" customWidth="1"/>
    <col min="16" max="16" width="14.5" bestFit="1" customWidth="1"/>
    <col min="17" max="17" width="5.1640625" customWidth="1"/>
    <col min="18" max="18" width="14.5" bestFit="1" customWidth="1"/>
    <col min="19" max="19" width="9.1640625" bestFit="1" customWidth="1"/>
    <col min="20" max="20" width="14" bestFit="1" customWidth="1"/>
    <col min="21" max="21" width="5.1640625" customWidth="1"/>
    <col min="22" max="22" width="13" bestFit="1" customWidth="1"/>
    <col min="23" max="23" width="7.1640625" customWidth="1"/>
    <col min="24" max="24" width="14" bestFit="1" customWidth="1"/>
    <col min="25" max="25" width="6.33203125" customWidth="1"/>
    <col min="26" max="26" width="18.33203125" bestFit="1" customWidth="1"/>
    <col min="27" max="27" width="6.1640625" bestFit="1" customWidth="1"/>
    <col min="28" max="28" width="16" customWidth="1"/>
    <col min="29" max="29" width="5.1640625" bestFit="1" customWidth="1"/>
    <col min="30" max="30" width="12" bestFit="1" customWidth="1"/>
    <col min="31" max="31" width="5.5" bestFit="1" customWidth="1"/>
    <col min="32" max="32" width="12" bestFit="1" customWidth="1"/>
    <col min="33" max="33" width="5.5" bestFit="1" customWidth="1"/>
    <col min="34" max="34" width="11.5" customWidth="1"/>
    <col min="35" max="35" width="5.1640625" bestFit="1" customWidth="1"/>
    <col min="36" max="36" width="15.5" bestFit="1" customWidth="1"/>
    <col min="37" max="37" width="14.83203125" customWidth="1"/>
    <col min="38" max="38" width="15.33203125" bestFit="1" customWidth="1"/>
    <col min="39" max="40" width="15.33203125" customWidth="1"/>
    <col min="41" max="41" width="15.33203125" bestFit="1" customWidth="1"/>
    <col min="49" max="49" width="21.6640625" bestFit="1" customWidth="1"/>
    <col min="51" max="51" width="30.33203125" bestFit="1" customWidth="1"/>
  </cols>
  <sheetData>
    <row r="1" spans="2:41" ht="14" thickBot="1" x14ac:dyDescent="0.2">
      <c r="V1" s="308"/>
      <c r="Y1" s="431"/>
    </row>
    <row r="2" spans="2:41" ht="14" thickBot="1" x14ac:dyDescent="0.2">
      <c r="B2" s="569" t="s">
        <v>1</v>
      </c>
      <c r="C2" s="577"/>
      <c r="D2" s="91" t="s">
        <v>52</v>
      </c>
      <c r="E2" s="92" t="s">
        <v>53</v>
      </c>
      <c r="F2" s="92" t="s">
        <v>54</v>
      </c>
      <c r="G2" s="93" t="s">
        <v>55</v>
      </c>
      <c r="H2" s="93" t="s">
        <v>69</v>
      </c>
      <c r="I2" s="98" t="s">
        <v>70</v>
      </c>
      <c r="J2" s="344" t="s">
        <v>6</v>
      </c>
      <c r="K2" s="75"/>
      <c r="L2" s="94" t="s">
        <v>47</v>
      </c>
      <c r="M2" s="94"/>
      <c r="N2" s="94" t="s">
        <v>141</v>
      </c>
      <c r="O2" s="94"/>
      <c r="P2" s="94" t="s">
        <v>48</v>
      </c>
      <c r="Q2" s="94"/>
      <c r="R2" s="349" t="s">
        <v>7</v>
      </c>
      <c r="S2" s="349"/>
      <c r="T2" s="94" t="s">
        <v>49</v>
      </c>
      <c r="U2" s="94"/>
      <c r="V2" s="349" t="s">
        <v>204</v>
      </c>
      <c r="W2" s="349"/>
      <c r="X2" s="349" t="s">
        <v>8</v>
      </c>
      <c r="Y2" s="349"/>
      <c r="Z2" s="349" t="s">
        <v>210</v>
      </c>
      <c r="AA2" s="349"/>
      <c r="AB2" s="349" t="s">
        <v>128</v>
      </c>
      <c r="AC2" s="349"/>
      <c r="AD2" s="349" t="s">
        <v>184</v>
      </c>
      <c r="AE2" s="349"/>
      <c r="AF2" s="349" t="s">
        <v>50</v>
      </c>
      <c r="AG2" s="349"/>
      <c r="AH2" s="349" t="s">
        <v>133</v>
      </c>
      <c r="AI2" s="350"/>
      <c r="AJ2" s="161" t="s">
        <v>67</v>
      </c>
      <c r="AK2" s="95" t="s">
        <v>51</v>
      </c>
      <c r="AL2" s="96" t="s">
        <v>65</v>
      </c>
      <c r="AM2" s="161" t="s">
        <v>68</v>
      </c>
      <c r="AN2" s="95" t="s">
        <v>51</v>
      </c>
      <c r="AO2" s="97" t="s">
        <v>65</v>
      </c>
    </row>
    <row r="3" spans="2:41" x14ac:dyDescent="0.15">
      <c r="B3" s="23">
        <v>1</v>
      </c>
      <c r="C3" s="24" t="str">
        <f>+Bioacem!C7</f>
        <v>D</v>
      </c>
      <c r="D3" s="333">
        <f>+'G. Corriente'!E7*'G. Corriente'!$E$4</f>
        <v>68958155.699999988</v>
      </c>
      <c r="E3" s="334">
        <f>+Bioacem!E7*Bioacem!$E$4</f>
        <v>13495980</v>
      </c>
      <c r="F3" s="334">
        <f>+'G. Extra'!E7*'G. Extra'!$E$4</f>
        <v>9361688.0999999996</v>
      </c>
      <c r="G3" s="467">
        <f t="shared" ref="G3" si="0">SUM(C3:F3)</f>
        <v>91815823.799999982</v>
      </c>
      <c r="H3" s="115">
        <f>+Bioacem!E7+'G. Corriente'!E7+'G. Extra'!E7</f>
        <v>6152.2</v>
      </c>
      <c r="I3" s="157">
        <f>660+500+9+15+7+11+4+1</f>
        <v>1207</v>
      </c>
      <c r="J3" s="345">
        <f t="shared" ref="J3:J10" si="1">+G3-L3-P3-T3-V3-R3-X3-Z3-AB3-AD3-AF3-AH3</f>
        <v>34720328.799999982</v>
      </c>
      <c r="K3" s="184">
        <f>IF(J3=0,0,J3/G3)</f>
        <v>0.37815190631661022</v>
      </c>
      <c r="L3" s="346">
        <f>1638161-N3</f>
        <v>1560241</v>
      </c>
      <c r="M3" s="347">
        <f>IF(L3=0,0,L3/G3)</f>
        <v>1.699316017028429E-2</v>
      </c>
      <c r="N3" s="346">
        <v>77920</v>
      </c>
      <c r="O3" s="347">
        <f>IF(N3=0,0,N3/G3)</f>
        <v>8.4865545801485274E-4</v>
      </c>
      <c r="P3" s="346"/>
      <c r="Q3" s="347">
        <f t="shared" ref="Q3:Q33" si="2">IF(P3=0,0,P3/G3)</f>
        <v>0</v>
      </c>
      <c r="R3" s="346">
        <v>2100334</v>
      </c>
      <c r="S3" s="347">
        <f t="shared" ref="S3:S33" si="3">IF(R3=0,0,R3/G3)</f>
        <v>2.2875512227337882E-2</v>
      </c>
      <c r="T3" s="346">
        <v>150156</v>
      </c>
      <c r="U3" s="347">
        <f t="shared" ref="U3:U33" si="4">IF(T3=0,0,T3/G3)</f>
        <v>1.6354043756888889E-3</v>
      </c>
      <c r="V3" s="346"/>
      <c r="W3" s="346">
        <f t="shared" ref="W3:W23" si="5">IF(V3=0,0,V3/G3)</f>
        <v>0</v>
      </c>
      <c r="X3" s="346">
        <v>237490</v>
      </c>
      <c r="Y3" s="347">
        <f t="shared" ref="Y3:Y33" si="6">IF(X3=0,0,X3/G3)</f>
        <v>2.586591179722117E-3</v>
      </c>
      <c r="Z3" s="346">
        <f>47132783+5254344</f>
        <v>52387127</v>
      </c>
      <c r="AA3" s="347">
        <f t="shared" ref="AA3:AA33" si="7">IF(Z3=0,0,Z3/G3)</f>
        <v>0.57056752128166399</v>
      </c>
      <c r="AB3" s="346">
        <f>+'Vtas efectivo'!Z3</f>
        <v>605147</v>
      </c>
      <c r="AC3" s="347">
        <f t="shared" ref="AC3:AC33" si="8">IF(AB3=0,0,AB3/G3)</f>
        <v>6.5908791639029017E-3</v>
      </c>
      <c r="AD3" s="363"/>
      <c r="AE3" s="347">
        <f t="shared" ref="AE3:AE33" si="9">IF(AD3=0,0,AD3/G3)</f>
        <v>0</v>
      </c>
      <c r="AF3" s="363">
        <v>55000</v>
      </c>
      <c r="AG3" s="347">
        <f t="shared" ref="AG3:AG33" si="10">IF(AF3=0,0,AF3/G3)</f>
        <v>5.9902528478974462E-4</v>
      </c>
      <c r="AH3" s="346">
        <f>+'Vtas efectivo'!BK3</f>
        <v>0</v>
      </c>
      <c r="AI3" s="348">
        <f t="shared" ref="AI3:AI33" si="11">IF(AH3=0,0,AH3/G3)</f>
        <v>0</v>
      </c>
      <c r="AJ3" s="288">
        <v>35091000</v>
      </c>
      <c r="AK3" s="147">
        <f>+J3-AJ3</f>
        <v>-370671.20000001788</v>
      </c>
      <c r="AL3" s="148">
        <f>+AK3</f>
        <v>-370671.20000001788</v>
      </c>
      <c r="AM3" s="364"/>
      <c r="AN3" s="143">
        <f>+AM3-AJ3</f>
        <v>-35091000</v>
      </c>
      <c r="AO3" s="144">
        <f>+AN3</f>
        <v>-35091000</v>
      </c>
    </row>
    <row r="4" spans="2:41" x14ac:dyDescent="0.15">
      <c r="B4" s="18">
        <v>2</v>
      </c>
      <c r="C4" s="25" t="str">
        <f>+Bioacem!C8</f>
        <v>L</v>
      </c>
      <c r="D4" s="333">
        <f>+'G. Corriente'!E8*'G. Corriente'!$E$4</f>
        <v>43289532.5</v>
      </c>
      <c r="E4" s="334">
        <f>+Bioacem!E8*Bioacem!$E$4</f>
        <v>56912327.5</v>
      </c>
      <c r="F4" s="334">
        <f>+'G. Extra'!E8*'G. Extra'!$E$4</f>
        <v>4257864.9000000004</v>
      </c>
      <c r="G4" s="335">
        <f>SUM(C4:F4)</f>
        <v>104459724.90000001</v>
      </c>
      <c r="H4" s="89">
        <f>+Bioacem!E8+'G. Corriente'!E8+'G. Extra'!E8</f>
        <v>8286.2900000000009</v>
      </c>
      <c r="I4" s="158">
        <f>634+429+34+54+40+15+17+2</f>
        <v>1225</v>
      </c>
      <c r="J4" s="153">
        <f>+G4-L4-P4-T4-V4-R4-X4-Z4-AB4-AD4-AF4-AH4</f>
        <v>35522186.900000006</v>
      </c>
      <c r="K4" s="102">
        <f>IF(J4=0,0,J4/G4)</f>
        <v>0.34005629379175212</v>
      </c>
      <c r="L4" s="85">
        <f>13927767-N4</f>
        <v>13845723</v>
      </c>
      <c r="M4" s="155">
        <f t="shared" ref="M4:M33" si="12">IF(L4=0,0,L4/G4)</f>
        <v>0.13254604119678282</v>
      </c>
      <c r="N4" s="85">
        <v>82044</v>
      </c>
      <c r="O4" s="155">
        <f t="shared" ref="O4:O33" si="13">IF(N4=0,0,N4/G4)</f>
        <v>7.8541275193421453E-4</v>
      </c>
      <c r="P4" s="85"/>
      <c r="Q4" s="155">
        <f t="shared" si="2"/>
        <v>0</v>
      </c>
      <c r="R4" s="85">
        <v>7037635</v>
      </c>
      <c r="S4" s="155">
        <f t="shared" si="3"/>
        <v>6.7371755063850444E-2</v>
      </c>
      <c r="T4" s="85">
        <f>5365535+'Vtas efectivo'!BJ4</f>
        <v>8200671</v>
      </c>
      <c r="U4" s="155">
        <f t="shared" si="4"/>
        <v>7.8505577224624673E-2</v>
      </c>
      <c r="V4" s="85"/>
      <c r="W4" s="407">
        <f t="shared" si="5"/>
        <v>0</v>
      </c>
      <c r="X4" s="85">
        <v>237037</v>
      </c>
      <c r="Y4" s="155">
        <f t="shared" si="6"/>
        <v>2.2691712066724005E-3</v>
      </c>
      <c r="Z4" s="85">
        <f>37532239-253005</f>
        <v>37279234</v>
      </c>
      <c r="AA4" s="155">
        <f t="shared" si="7"/>
        <v>0.35687662432279676</v>
      </c>
      <c r="AB4" s="346">
        <f>+'Vtas efectivo'!Z4</f>
        <v>2060238</v>
      </c>
      <c r="AC4" s="155">
        <f t="shared" si="8"/>
        <v>1.9722797489389137E-2</v>
      </c>
      <c r="AD4" s="244"/>
      <c r="AE4" s="155">
        <f t="shared" si="9"/>
        <v>0</v>
      </c>
      <c r="AF4" s="244">
        <v>277000</v>
      </c>
      <c r="AG4" s="155">
        <f t="shared" si="10"/>
        <v>2.6517397041316542E-3</v>
      </c>
      <c r="AH4" s="85">
        <f>+'Vtas efectivo'!BK4</f>
        <v>0</v>
      </c>
      <c r="AI4" s="237">
        <f t="shared" si="11"/>
        <v>0</v>
      </c>
      <c r="AJ4" s="289">
        <v>35557000</v>
      </c>
      <c r="AK4" s="109">
        <f t="shared" ref="AK4:AK33" si="14">+J4-AJ4</f>
        <v>-34813.09999999404</v>
      </c>
      <c r="AL4" s="110">
        <f>+AL3+AK4</f>
        <v>-405484.30000001192</v>
      </c>
      <c r="AM4" s="365"/>
      <c r="AN4" s="143">
        <f>+AM4-AJ4</f>
        <v>-35557000</v>
      </c>
      <c r="AO4" s="144">
        <f>+AO3+AN4</f>
        <v>-70648000</v>
      </c>
    </row>
    <row r="5" spans="2:41" x14ac:dyDescent="0.15">
      <c r="B5" s="18">
        <v>3</v>
      </c>
      <c r="C5" s="25" t="str">
        <f>+Bioacem!C9</f>
        <v>M</v>
      </c>
      <c r="D5" s="333">
        <f>+'G. Corriente'!E9*'G. Corriente'!$E$4</f>
        <v>43791530.5</v>
      </c>
      <c r="E5" s="334">
        <f>+Bioacem!E9*Bioacem!$E$4</f>
        <v>56862340.000000007</v>
      </c>
      <c r="F5" s="334">
        <f>+'G. Extra'!E9*'G. Extra'!$E$4</f>
        <v>6569373.3000000007</v>
      </c>
      <c r="G5" s="335">
        <f t="shared" ref="G5:G33" si="15">SUM(C5:F5)</f>
        <v>107223243.8</v>
      </c>
      <c r="H5" s="89">
        <f>+Bioacem!E9+'G. Corriente'!E9+'G. Extra'!E9</f>
        <v>8430.76</v>
      </c>
      <c r="I5" s="158">
        <f>690+401+41+62+27+11+9+14+1</f>
        <v>1256</v>
      </c>
      <c r="J5" s="153">
        <f>+G5-L5-P5-T5-V5-R5-X5-Z5-AB5-AD5-AF5-AH5</f>
        <v>37613322.799999997</v>
      </c>
      <c r="K5" s="102">
        <f t="shared" ref="K5:K33" si="16">IF(J5=0,0,J5/G5)</f>
        <v>0.3507944869692517</v>
      </c>
      <c r="L5" s="85">
        <f>15346584-N5</f>
        <v>15020193</v>
      </c>
      <c r="M5" s="155">
        <f t="shared" si="12"/>
        <v>0.14008336688653697</v>
      </c>
      <c r="N5" s="85">
        <v>326391</v>
      </c>
      <c r="O5" s="155">
        <f t="shared" si="13"/>
        <v>3.0440321373675881E-3</v>
      </c>
      <c r="P5" s="85"/>
      <c r="Q5" s="155">
        <f t="shared" si="2"/>
        <v>0</v>
      </c>
      <c r="R5" s="85">
        <v>6745965</v>
      </c>
      <c r="S5" s="155">
        <f t="shared" si="3"/>
        <v>6.2915136316739562E-2</v>
      </c>
      <c r="T5" s="85">
        <f>4511303+'Vtas efectivo'!BJ5</f>
        <v>6214052</v>
      </c>
      <c r="U5" s="155">
        <f t="shared" si="4"/>
        <v>5.7954336949466549E-2</v>
      </c>
      <c r="V5" s="85">
        <v>49128</v>
      </c>
      <c r="W5" s="85">
        <f t="shared" si="5"/>
        <v>4.5818423560880931E-4</v>
      </c>
      <c r="X5" s="85">
        <v>1330663</v>
      </c>
      <c r="Y5" s="155">
        <f t="shared" si="6"/>
        <v>1.2410210257041301E-2</v>
      </c>
      <c r="Z5" s="85">
        <f>34703935+4281199</f>
        <v>38985134</v>
      </c>
      <c r="AA5" s="155">
        <f t="shared" si="7"/>
        <v>0.36358845916579147</v>
      </c>
      <c r="AB5" s="346">
        <f>+'Vtas efectivo'!Z5</f>
        <v>1100786</v>
      </c>
      <c r="AC5" s="155">
        <f t="shared" si="8"/>
        <v>1.0266300113558027E-2</v>
      </c>
      <c r="AD5" s="244"/>
      <c r="AE5" s="155">
        <f t="shared" si="9"/>
        <v>0</v>
      </c>
      <c r="AF5" s="244">
        <v>164000</v>
      </c>
      <c r="AG5" s="155">
        <f t="shared" si="10"/>
        <v>1.5295191060056327E-3</v>
      </c>
      <c r="AH5" s="85">
        <f>+'Vtas efectivo'!BK5</f>
        <v>0</v>
      </c>
      <c r="AI5" s="237">
        <f t="shared" si="11"/>
        <v>0</v>
      </c>
      <c r="AJ5" s="289">
        <v>37496000</v>
      </c>
      <c r="AK5" s="109">
        <f t="shared" si="14"/>
        <v>117322.79999999702</v>
      </c>
      <c r="AL5" s="110">
        <f t="shared" ref="AL5:AL33" si="17">+AL4+AK5</f>
        <v>-288161.5000000149</v>
      </c>
      <c r="AM5" s="365"/>
      <c r="AN5" s="143">
        <f t="shared" ref="AN5:AN33" si="18">+AM5-AJ5</f>
        <v>-37496000</v>
      </c>
      <c r="AO5" s="144">
        <f>+AO4+AN5</f>
        <v>-108144000</v>
      </c>
    </row>
    <row r="6" spans="2:41" x14ac:dyDescent="0.15">
      <c r="B6" s="18">
        <v>4</v>
      </c>
      <c r="C6" s="25" t="str">
        <f>+Bioacem!C10</f>
        <v>M</v>
      </c>
      <c r="D6" s="333">
        <f>+'G. Corriente'!E10*'G. Corriente'!$E$4</f>
        <v>44562144.200000003</v>
      </c>
      <c r="E6" s="334">
        <f>+Bioacem!E10*Bioacem!$E$4</f>
        <v>60013487.499999993</v>
      </c>
      <c r="F6" s="334">
        <f>+'G. Extra'!E10*'G. Extra'!$E$4</f>
        <v>5939105.7000000002</v>
      </c>
      <c r="G6" s="335">
        <f t="shared" si="15"/>
        <v>110514737.39999999</v>
      </c>
      <c r="H6" s="89">
        <f>+Bioacem!E10+'G. Corriente'!E10+'G. Extra'!E10</f>
        <v>8741.4399999999987</v>
      </c>
      <c r="I6" s="158">
        <f>666+390+34+61+30+15+12+5</f>
        <v>1213</v>
      </c>
      <c r="J6" s="153">
        <f t="shared" si="1"/>
        <v>39396453.399999991</v>
      </c>
      <c r="K6" s="102">
        <f t="shared" si="16"/>
        <v>0.35648144606639581</v>
      </c>
      <c r="L6" s="85">
        <f>14277999-N6</f>
        <v>14208699</v>
      </c>
      <c r="M6" s="155">
        <f t="shared" si="12"/>
        <v>0.1285683641320402</v>
      </c>
      <c r="N6" s="85">
        <v>69300</v>
      </c>
      <c r="O6" s="155">
        <f t="shared" si="13"/>
        <v>6.2706568943084694E-4</v>
      </c>
      <c r="P6" s="85"/>
      <c r="Q6" s="155">
        <f t="shared" si="2"/>
        <v>0</v>
      </c>
      <c r="R6" s="85">
        <v>5495035</v>
      </c>
      <c r="S6" s="155">
        <f t="shared" si="3"/>
        <v>4.9722192073905255E-2</v>
      </c>
      <c r="T6" s="85">
        <f>6148176+'Vtas efectivo'!BJ6</f>
        <v>6438662</v>
      </c>
      <c r="U6" s="155">
        <f t="shared" si="4"/>
        <v>5.8260664156453042E-2</v>
      </c>
      <c r="V6" s="85"/>
      <c r="W6" s="85">
        <f t="shared" si="5"/>
        <v>0</v>
      </c>
      <c r="X6" s="85">
        <v>709302</v>
      </c>
      <c r="Y6" s="155">
        <f t="shared" si="6"/>
        <v>6.418166632679345E-3</v>
      </c>
      <c r="Z6" s="85">
        <f>40476235+2797189</f>
        <v>43273424</v>
      </c>
      <c r="AA6" s="155">
        <f t="shared" si="7"/>
        <v>0.39156247409225625</v>
      </c>
      <c r="AB6" s="346">
        <f>+'Vtas efectivo'!Z6</f>
        <v>606162</v>
      </c>
      <c r="AC6" s="155">
        <f t="shared" si="8"/>
        <v>5.4848974377601882E-3</v>
      </c>
      <c r="AD6" s="244"/>
      <c r="AE6" s="155">
        <f t="shared" si="9"/>
        <v>0</v>
      </c>
      <c r="AF6" s="244">
        <v>387000</v>
      </c>
      <c r="AG6" s="155">
        <f t="shared" si="10"/>
        <v>3.5017954085099245E-3</v>
      </c>
      <c r="AH6" s="85">
        <f>+'Vtas efectivo'!BK6</f>
        <v>0</v>
      </c>
      <c r="AI6" s="237">
        <f t="shared" si="11"/>
        <v>0</v>
      </c>
      <c r="AJ6" s="289">
        <v>39207000</v>
      </c>
      <c r="AK6" s="109">
        <f t="shared" si="14"/>
        <v>189453.39999999106</v>
      </c>
      <c r="AL6" s="110">
        <f t="shared" si="17"/>
        <v>-98708.100000023842</v>
      </c>
      <c r="AM6" s="365"/>
      <c r="AN6" s="143">
        <f t="shared" si="18"/>
        <v>-39207000</v>
      </c>
      <c r="AO6" s="144">
        <f t="shared" ref="AO6:AO33" si="19">+AO5+AN6</f>
        <v>-147351000</v>
      </c>
    </row>
    <row r="7" spans="2:41" x14ac:dyDescent="0.15">
      <c r="B7" s="18">
        <v>5</v>
      </c>
      <c r="C7" s="25" t="str">
        <f>+Bioacem!C11</f>
        <v>J</v>
      </c>
      <c r="D7" s="333">
        <f>+'G. Corriente'!E11*'G. Corriente'!$G$4</f>
        <v>21203872.900000002</v>
      </c>
      <c r="E7" s="334">
        <f>+Bioacem!E11*Bioacem!$E$4</f>
        <v>60859620</v>
      </c>
      <c r="F7" s="334">
        <f>+'G. Extra'!E11*'G. Extra'!$E$4</f>
        <v>1704371.7</v>
      </c>
      <c r="G7" s="335">
        <f t="shared" si="15"/>
        <v>83767864.600000009</v>
      </c>
      <c r="H7" s="89">
        <f>+Bioacem!E11+'G. Corriente'!E11+'G. Extra'!E11</f>
        <v>7143.48</v>
      </c>
      <c r="I7" s="158">
        <f>416+182+22+58+44+5+3+4</f>
        <v>734</v>
      </c>
      <c r="J7" s="153">
        <f t="shared" si="1"/>
        <v>27053982.600000009</v>
      </c>
      <c r="K7" s="102">
        <f t="shared" si="16"/>
        <v>0.32296373709877291</v>
      </c>
      <c r="L7" s="85">
        <f>12917658-N7</f>
        <v>12561260</v>
      </c>
      <c r="M7" s="155">
        <f t="shared" si="12"/>
        <v>0.14995320771254325</v>
      </c>
      <c r="N7" s="85">
        <v>356398</v>
      </c>
      <c r="O7" s="155">
        <f t="shared" si="13"/>
        <v>4.2545909663787703E-3</v>
      </c>
      <c r="P7" s="85"/>
      <c r="Q7" s="155">
        <f t="shared" si="2"/>
        <v>0</v>
      </c>
      <c r="R7" s="85">
        <v>9265958</v>
      </c>
      <c r="S7" s="155">
        <f t="shared" si="3"/>
        <v>0.11061470940253619</v>
      </c>
      <c r="T7" s="85">
        <f>3947788+'Vtas efectivo'!BJ7</f>
        <v>5134058</v>
      </c>
      <c r="U7" s="155">
        <f t="shared" si="4"/>
        <v>6.1289111576565122E-2</v>
      </c>
      <c r="V7" s="85"/>
      <c r="W7" s="85">
        <f t="shared" si="5"/>
        <v>0</v>
      </c>
      <c r="X7" s="85">
        <v>567228</v>
      </c>
      <c r="Y7" s="155">
        <f t="shared" si="6"/>
        <v>6.7714272377429078E-3</v>
      </c>
      <c r="Z7" s="85">
        <f>26265813+2317230</f>
        <v>28583043</v>
      </c>
      <c r="AA7" s="155">
        <f t="shared" si="7"/>
        <v>0.34121728107176791</v>
      </c>
      <c r="AB7" s="346">
        <f>+'Vtas efectivo'!Z7</f>
        <v>519335</v>
      </c>
      <c r="AC7" s="155">
        <f t="shared" si="8"/>
        <v>6.1996924772987462E-3</v>
      </c>
      <c r="AD7" s="244"/>
      <c r="AE7" s="155">
        <f t="shared" si="9"/>
        <v>0</v>
      </c>
      <c r="AF7" s="244">
        <v>83000</v>
      </c>
      <c r="AG7" s="155">
        <f t="shared" si="10"/>
        <v>9.9083342277296138E-4</v>
      </c>
      <c r="AH7" s="85">
        <f>+'Vtas efectivo'!BK7</f>
        <v>0</v>
      </c>
      <c r="AI7" s="237">
        <f t="shared" si="11"/>
        <v>0</v>
      </c>
      <c r="AJ7" s="289">
        <v>26692000</v>
      </c>
      <c r="AK7" s="109">
        <f>+J7-AJ7</f>
        <v>361982.60000000894</v>
      </c>
      <c r="AL7" s="110">
        <f>+AL6+AK7</f>
        <v>263274.4999999851</v>
      </c>
      <c r="AM7" s="365">
        <v>113099000</v>
      </c>
      <c r="AN7" s="143">
        <f t="shared" si="18"/>
        <v>86407000</v>
      </c>
      <c r="AO7" s="144">
        <f t="shared" si="19"/>
        <v>-60944000</v>
      </c>
    </row>
    <row r="8" spans="2:41" x14ac:dyDescent="0.15">
      <c r="B8" s="18">
        <v>6</v>
      </c>
      <c r="C8" s="25" t="str">
        <f>+Bioacem!C12</f>
        <v>V</v>
      </c>
      <c r="D8" s="333">
        <f>+'G. Corriente'!E12*'G. Corriente'!$G$4</f>
        <v>58436081.900000006</v>
      </c>
      <c r="E8" s="334">
        <f>+Bioacem!E12*Bioacem!$E$4</f>
        <v>47770635</v>
      </c>
      <c r="F8" s="334">
        <f>+'G. Extra'!E12*'G. Extra'!$E$4</f>
        <v>6546637.7999999998</v>
      </c>
      <c r="G8" s="335">
        <f t="shared" si="15"/>
        <v>112753354.7</v>
      </c>
      <c r="H8" s="89">
        <f>+Bioacem!E12+'G. Corriente'!E12+'G. Extra'!E12</f>
        <v>8621.93</v>
      </c>
      <c r="I8" s="158">
        <f>824+440+40+29+35+11+53+5</f>
        <v>1437</v>
      </c>
      <c r="J8" s="153">
        <f t="shared" si="1"/>
        <v>38929002.700000003</v>
      </c>
      <c r="K8" s="102">
        <f t="shared" si="16"/>
        <v>0.34525804401631699</v>
      </c>
      <c r="L8" s="85">
        <f>9945579-N8</f>
        <v>9822371</v>
      </c>
      <c r="M8" s="155">
        <f t="shared" si="12"/>
        <v>8.7113780571177982E-2</v>
      </c>
      <c r="N8" s="85">
        <v>123208</v>
      </c>
      <c r="O8" s="155">
        <f t="shared" si="13"/>
        <v>1.0927213680499033E-3</v>
      </c>
      <c r="P8" s="85"/>
      <c r="Q8" s="155">
        <f t="shared" si="2"/>
        <v>0</v>
      </c>
      <c r="R8" s="85">
        <v>7748215</v>
      </c>
      <c r="S8" s="155">
        <f t="shared" si="3"/>
        <v>6.8718265816706564E-2</v>
      </c>
      <c r="T8" s="85">
        <f>3763063+'Vtas efectivo'!BJ8</f>
        <v>5705014</v>
      </c>
      <c r="U8" s="155">
        <f t="shared" si="4"/>
        <v>5.0597288348352795E-2</v>
      </c>
      <c r="V8" s="85"/>
      <c r="W8" s="85">
        <f t="shared" si="5"/>
        <v>0</v>
      </c>
      <c r="X8" s="85">
        <v>590211</v>
      </c>
      <c r="Y8" s="155">
        <f t="shared" si="6"/>
        <v>5.2345316161134135E-3</v>
      </c>
      <c r="Z8" s="85">
        <f>40894071+6636380</f>
        <v>47530451</v>
      </c>
      <c r="AA8" s="155">
        <f t="shared" si="7"/>
        <v>0.42154356406036048</v>
      </c>
      <c r="AB8" s="346">
        <f>+'Vtas efectivo'!Z8</f>
        <v>2088640</v>
      </c>
      <c r="AC8" s="155">
        <f t="shared" si="8"/>
        <v>1.8523972129762274E-2</v>
      </c>
      <c r="AD8" s="244"/>
      <c r="AE8" s="155">
        <f t="shared" si="9"/>
        <v>0</v>
      </c>
      <c r="AF8" s="244">
        <v>197000</v>
      </c>
      <c r="AG8" s="155">
        <f t="shared" si="10"/>
        <v>1.7471763968722076E-3</v>
      </c>
      <c r="AH8" s="85">
        <f>+'Vtas efectivo'!BK8</f>
        <v>142450</v>
      </c>
      <c r="AI8" s="237">
        <f t="shared" si="11"/>
        <v>1.2633770443372893E-3</v>
      </c>
      <c r="AJ8" s="289">
        <v>38799000</v>
      </c>
      <c r="AK8" s="109">
        <f>+J8-AJ8</f>
        <v>130002.70000000298</v>
      </c>
      <c r="AL8" s="110">
        <f t="shared" si="17"/>
        <v>393277.19999998808</v>
      </c>
      <c r="AM8" s="365">
        <v>26740000</v>
      </c>
      <c r="AN8" s="143">
        <f t="shared" si="18"/>
        <v>-12059000</v>
      </c>
      <c r="AO8" s="144">
        <f>+AO7+AN8</f>
        <v>-73003000</v>
      </c>
    </row>
    <row r="9" spans="2:41" x14ac:dyDescent="0.15">
      <c r="B9" s="18">
        <v>7</v>
      </c>
      <c r="C9" s="25" t="str">
        <f>+Bioacem!C13</f>
        <v>S</v>
      </c>
      <c r="D9" s="333">
        <f>+'G. Corriente'!E13*'G. Corriente'!$G$4</f>
        <v>73306180.5</v>
      </c>
      <c r="E9" s="334">
        <f>+Bioacem!E13*Bioacem!$E$4</f>
        <v>45138820</v>
      </c>
      <c r="F9" s="334">
        <f>+'G. Extra'!E13*'G. Extra'!$G$4</f>
        <v>11897107.299999999</v>
      </c>
      <c r="G9" s="335">
        <f t="shared" si="15"/>
        <v>130342107.8</v>
      </c>
      <c r="H9" s="89">
        <f>+Bioacem!E13+'G. Corriente'!E13+'G. Extra'!E13</f>
        <v>9683.2999999999993</v>
      </c>
      <c r="I9" s="158">
        <f>755+618+24+33+7+15+14+5+2</f>
        <v>1473</v>
      </c>
      <c r="J9" s="153">
        <f t="shared" si="1"/>
        <v>44718813.799999997</v>
      </c>
      <c r="K9" s="102">
        <f t="shared" si="16"/>
        <v>0.34308800551712421</v>
      </c>
      <c r="L9" s="85">
        <f>10384172-N9</f>
        <v>10326722</v>
      </c>
      <c r="M9" s="155">
        <f t="shared" si="12"/>
        <v>7.9227827248624566E-2</v>
      </c>
      <c r="N9" s="85">
        <v>57450</v>
      </c>
      <c r="O9" s="155">
        <f t="shared" si="13"/>
        <v>4.4076316525548778E-4</v>
      </c>
      <c r="P9" s="85"/>
      <c r="Q9" s="155">
        <f t="shared" si="2"/>
        <v>0</v>
      </c>
      <c r="R9" s="85">
        <v>3999655</v>
      </c>
      <c r="S9" s="155">
        <f t="shared" si="3"/>
        <v>3.0685824155438433E-2</v>
      </c>
      <c r="T9" s="85">
        <f>1270408+'Vtas efectivo'!BJ9</f>
        <v>2736310</v>
      </c>
      <c r="U9" s="155">
        <f t="shared" si="4"/>
        <v>2.0993292545173955E-2</v>
      </c>
      <c r="V9" s="85">
        <v>343754</v>
      </c>
      <c r="W9" s="85">
        <f t="shared" si="5"/>
        <v>2.6373211681328971E-3</v>
      </c>
      <c r="X9" s="85">
        <v>818085</v>
      </c>
      <c r="Y9" s="155">
        <f t="shared" si="6"/>
        <v>6.2764444568848684E-3</v>
      </c>
      <c r="Z9" s="85">
        <f>64565637+839652</f>
        <v>65405289</v>
      </c>
      <c r="AA9" s="155">
        <f t="shared" si="7"/>
        <v>0.50179707927049499</v>
      </c>
      <c r="AB9" s="346">
        <f>+'Vtas efectivo'!Z9</f>
        <v>1729379</v>
      </c>
      <c r="AC9" s="155">
        <f t="shared" si="8"/>
        <v>1.3267999337969891E-2</v>
      </c>
      <c r="AD9" s="244"/>
      <c r="AE9" s="155">
        <f t="shared" si="9"/>
        <v>0</v>
      </c>
      <c r="AF9" s="244">
        <v>241000</v>
      </c>
      <c r="AG9" s="155">
        <f t="shared" si="10"/>
        <v>1.8489803799229339E-3</v>
      </c>
      <c r="AH9" s="85">
        <f>+'Vtas efectivo'!BK9</f>
        <v>23100</v>
      </c>
      <c r="AI9" s="237">
        <f t="shared" si="11"/>
        <v>1.7722592023327707E-4</v>
      </c>
      <c r="AJ9" s="289">
        <v>44699000</v>
      </c>
      <c r="AK9" s="109">
        <f t="shared" si="14"/>
        <v>19813.79999999702</v>
      </c>
      <c r="AL9" s="110">
        <f t="shared" si="17"/>
        <v>413090.9999999851</v>
      </c>
      <c r="AM9" s="365"/>
      <c r="AN9" s="143">
        <f t="shared" si="18"/>
        <v>-44699000</v>
      </c>
      <c r="AO9" s="144">
        <f t="shared" si="19"/>
        <v>-117702000</v>
      </c>
    </row>
    <row r="10" spans="2:41" x14ac:dyDescent="0.15">
      <c r="B10" s="18">
        <v>8</v>
      </c>
      <c r="C10" s="25" t="str">
        <f>+Bioacem!C14</f>
        <v>D</v>
      </c>
      <c r="D10" s="333">
        <f>+'G. Corriente'!E14*'G. Corriente'!$G$4</f>
        <v>67194939.700000003</v>
      </c>
      <c r="E10" s="334">
        <f>+Bioacem!E14*Bioacem!$E$4</f>
        <v>19060072.5</v>
      </c>
      <c r="F10" s="334">
        <f>+'G. Extra'!E14*'G. Extra'!$G$4</f>
        <v>7463090.7000000002</v>
      </c>
      <c r="G10" s="335">
        <f t="shared" si="15"/>
        <v>93718102.900000006</v>
      </c>
      <c r="H10" s="89">
        <f>+Bioacem!E14+'G. Corriente'!E14+'G. Extra'!E14</f>
        <v>6609.67</v>
      </c>
      <c r="I10" s="158">
        <f>686+509+22+14+4+10+2+1</f>
        <v>1248</v>
      </c>
      <c r="J10" s="153">
        <f t="shared" si="1"/>
        <v>35956840.900000006</v>
      </c>
      <c r="K10" s="102">
        <f t="shared" si="16"/>
        <v>0.38367017456986963</v>
      </c>
      <c r="L10" s="85">
        <f>4665267-N10</f>
        <v>4487389</v>
      </c>
      <c r="M10" s="155">
        <f t="shared" si="12"/>
        <v>4.7881773757074204E-2</v>
      </c>
      <c r="N10" s="85">
        <v>177878</v>
      </c>
      <c r="O10" s="155">
        <f t="shared" si="13"/>
        <v>1.898011104533359E-3</v>
      </c>
      <c r="P10" s="85"/>
      <c r="Q10" s="155">
        <f t="shared" si="2"/>
        <v>0</v>
      </c>
      <c r="R10" s="85">
        <v>730732</v>
      </c>
      <c r="S10" s="155">
        <f t="shared" si="3"/>
        <v>7.797127528069072E-3</v>
      </c>
      <c r="T10" s="85">
        <f>590831+'Vtas efectivo'!BJ10</f>
        <v>671241</v>
      </c>
      <c r="U10" s="155">
        <f t="shared" si="4"/>
        <v>7.1623408843031538E-3</v>
      </c>
      <c r="V10" s="85">
        <v>57008</v>
      </c>
      <c r="W10" s="85">
        <f t="shared" si="5"/>
        <v>6.0829229610878091E-4</v>
      </c>
      <c r="X10" s="85"/>
      <c r="Y10" s="155">
        <f t="shared" si="6"/>
        <v>0</v>
      </c>
      <c r="Z10" s="85">
        <f>45805743+4407877</f>
        <v>50213620</v>
      </c>
      <c r="AA10" s="155">
        <f t="shared" si="7"/>
        <v>0.53579424301385425</v>
      </c>
      <c r="AB10" s="346">
        <f>+'Vtas efectivo'!Z10</f>
        <v>1278272</v>
      </c>
      <c r="AC10" s="155">
        <f t="shared" si="8"/>
        <v>1.3639541992905619E-2</v>
      </c>
      <c r="AD10" s="244"/>
      <c r="AE10" s="155">
        <f t="shared" si="9"/>
        <v>0</v>
      </c>
      <c r="AF10" s="244">
        <v>323000</v>
      </c>
      <c r="AG10" s="155">
        <f t="shared" si="10"/>
        <v>3.4465059578153282E-3</v>
      </c>
      <c r="AH10" s="85">
        <f>+'Vtas efectivo'!BK10</f>
        <v>0</v>
      </c>
      <c r="AI10" s="237">
        <f t="shared" si="11"/>
        <v>0</v>
      </c>
      <c r="AJ10" s="289">
        <v>35656000</v>
      </c>
      <c r="AK10" s="109">
        <f t="shared" si="14"/>
        <v>300840.90000000596</v>
      </c>
      <c r="AL10" s="110">
        <f t="shared" si="17"/>
        <v>713931.89999999106</v>
      </c>
      <c r="AM10" s="365"/>
      <c r="AN10" s="143">
        <f t="shared" si="18"/>
        <v>-35656000</v>
      </c>
      <c r="AO10" s="144">
        <f t="shared" si="19"/>
        <v>-153358000</v>
      </c>
    </row>
    <row r="11" spans="2:41" x14ac:dyDescent="0.15">
      <c r="B11" s="18">
        <v>9</v>
      </c>
      <c r="C11" s="25" t="str">
        <f>+Bioacem!C15</f>
        <v>L</v>
      </c>
      <c r="D11" s="333">
        <f>+'G. Corriente'!E15*'G. Corriente'!$G$4</f>
        <v>48895546.699999996</v>
      </c>
      <c r="E11" s="334">
        <f>+Bioacem!E15*Bioacem!$E$4</f>
        <v>52803570</v>
      </c>
      <c r="F11" s="334">
        <f>+'G. Extra'!E15*'G. Extra'!$G$4</f>
        <v>5242287.7</v>
      </c>
      <c r="G11" s="335">
        <f t="shared" si="15"/>
        <v>106941404.39999999</v>
      </c>
      <c r="H11" s="89">
        <f>+Bioacem!E15+'G. Corriente'!E15+'G. Extra'!E15</f>
        <v>8421</v>
      </c>
      <c r="I11" s="158">
        <f>701+442+41+62+21+24+12+2</f>
        <v>1305</v>
      </c>
      <c r="J11" s="153">
        <f>+G11-L11-P11-T11-V11-R11-X11-Z11-AB11-AD11-AF11-AH11</f>
        <v>39042894.399999991</v>
      </c>
      <c r="K11" s="102">
        <f t="shared" si="16"/>
        <v>0.36508679326825816</v>
      </c>
      <c r="L11" s="85">
        <f>10668976-N11</f>
        <v>10520959</v>
      </c>
      <c r="M11" s="155">
        <f t="shared" si="12"/>
        <v>9.8380595046683353E-2</v>
      </c>
      <c r="N11" s="85">
        <v>148017</v>
      </c>
      <c r="O11" s="155">
        <f t="shared" si="13"/>
        <v>1.384094409742014E-3</v>
      </c>
      <c r="P11" s="85"/>
      <c r="Q11" s="155">
        <f t="shared" si="2"/>
        <v>0</v>
      </c>
      <c r="R11" s="85">
        <v>8099551</v>
      </c>
      <c r="S11" s="155">
        <f t="shared" si="3"/>
        <v>7.5738214262688328E-2</v>
      </c>
      <c r="T11" s="85">
        <f>4854763+'Vtas efectivo'!BJ11</f>
        <v>6298874</v>
      </c>
      <c r="U11" s="155">
        <f t="shared" si="4"/>
        <v>5.8900236398990106E-2</v>
      </c>
      <c r="V11" s="85"/>
      <c r="W11" s="85">
        <f t="shared" si="5"/>
        <v>0</v>
      </c>
      <c r="X11" s="85">
        <v>378443</v>
      </c>
      <c r="Y11" s="155">
        <f t="shared" si="6"/>
        <v>3.5387883871852354E-3</v>
      </c>
      <c r="Z11" s="85">
        <f>39165663+1133769</f>
        <v>40299432</v>
      </c>
      <c r="AA11" s="155">
        <f t="shared" si="7"/>
        <v>0.37683656976548929</v>
      </c>
      <c r="AB11" s="346">
        <f>+'Vtas efectivo'!Z11</f>
        <v>2061251</v>
      </c>
      <c r="AC11" s="155">
        <f t="shared" si="8"/>
        <v>1.9274583231487844E-2</v>
      </c>
      <c r="AD11" s="244"/>
      <c r="AE11" s="155">
        <f t="shared" si="9"/>
        <v>0</v>
      </c>
      <c r="AF11" s="244">
        <v>240000</v>
      </c>
      <c r="AG11" s="155">
        <f t="shared" si="10"/>
        <v>2.2442196392176801E-3</v>
      </c>
      <c r="AH11" s="85">
        <f>+'Vtas efectivo'!BK11</f>
        <v>0</v>
      </c>
      <c r="AI11" s="237">
        <f t="shared" si="11"/>
        <v>0</v>
      </c>
      <c r="AJ11" s="289">
        <v>39116000</v>
      </c>
      <c r="AK11" s="109">
        <f t="shared" si="14"/>
        <v>-73105.600000008941</v>
      </c>
      <c r="AL11" s="110">
        <f t="shared" si="17"/>
        <v>640826.29999998212</v>
      </c>
      <c r="AM11" s="365">
        <v>126512000</v>
      </c>
      <c r="AN11" s="143">
        <f t="shared" si="18"/>
        <v>87396000</v>
      </c>
      <c r="AO11" s="144">
        <f t="shared" si="19"/>
        <v>-65962000</v>
      </c>
    </row>
    <row r="12" spans="2:41" x14ac:dyDescent="0.15">
      <c r="B12" s="18">
        <v>10</v>
      </c>
      <c r="C12" s="25" t="str">
        <f>+Bioacem!C16</f>
        <v>M</v>
      </c>
      <c r="D12" s="333">
        <f>+'G. Corriente'!E16*'G. Corriente'!$G$4</f>
        <v>48712051.5</v>
      </c>
      <c r="E12" s="334">
        <f>+Bioacem!E16*Bioacem!$E$4</f>
        <v>56242817.5</v>
      </c>
      <c r="F12" s="334">
        <f>+'G. Extra'!E16*'G. Extra'!$G$4</f>
        <v>5234336.9000000004</v>
      </c>
      <c r="G12" s="335">
        <f t="shared" si="15"/>
        <v>110189205.90000001</v>
      </c>
      <c r="H12" s="89">
        <f>+Bioacem!E16+'G. Corriente'!E16+'G. Extra'!E16</f>
        <v>8728.41</v>
      </c>
      <c r="I12" s="158">
        <f>665+477+44+32+15+11+55+1+6+1</f>
        <v>1307</v>
      </c>
      <c r="J12" s="153">
        <f>+G12-L12-P12-T12-V12-R12-X12-Z12-AB12-AD12-AF12-AH12</f>
        <v>38308779.900000006</v>
      </c>
      <c r="K12" s="102">
        <f t="shared" si="16"/>
        <v>0.34766363535432288</v>
      </c>
      <c r="L12" s="85">
        <f>13625822-N12</f>
        <v>13333222</v>
      </c>
      <c r="M12" s="155">
        <f t="shared" si="12"/>
        <v>0.12100297747948467</v>
      </c>
      <c r="N12" s="85">
        <f>254100+38500</f>
        <v>292600</v>
      </c>
      <c r="O12" s="155">
        <f t="shared" si="13"/>
        <v>2.6554325136487799E-3</v>
      </c>
      <c r="P12" s="85"/>
      <c r="Q12" s="155">
        <f t="shared" si="2"/>
        <v>0</v>
      </c>
      <c r="R12" s="85">
        <v>8789210</v>
      </c>
      <c r="S12" s="155">
        <f t="shared" si="3"/>
        <v>7.976470951225903E-2</v>
      </c>
      <c r="T12" s="85">
        <f>4960063+'Vtas efectivo'!BJ12</f>
        <v>6522444</v>
      </c>
      <c r="U12" s="155">
        <f t="shared" si="4"/>
        <v>5.9193130095876297E-2</v>
      </c>
      <c r="V12" s="85">
        <v>50000</v>
      </c>
      <c r="W12" s="85">
        <f t="shared" si="5"/>
        <v>4.5376495448543747E-4</v>
      </c>
      <c r="X12" s="85">
        <v>724261</v>
      </c>
      <c r="Y12" s="155">
        <f t="shared" si="6"/>
        <v>6.5728851940115487E-3</v>
      </c>
      <c r="Z12" s="85">
        <f>40057432+333128</f>
        <v>40390560</v>
      </c>
      <c r="AA12" s="155">
        <f t="shared" si="7"/>
        <v>0.36655641240082665</v>
      </c>
      <c r="AB12" s="346">
        <f>+'Vtas efectivo'!Z12</f>
        <v>1618779</v>
      </c>
      <c r="AC12" s="155">
        <f t="shared" si="8"/>
        <v>1.469090358513964E-2</v>
      </c>
      <c r="AD12" s="244"/>
      <c r="AE12" s="155">
        <f t="shared" si="9"/>
        <v>0</v>
      </c>
      <c r="AF12" s="244">
        <v>271000</v>
      </c>
      <c r="AG12" s="155">
        <f t="shared" si="10"/>
        <v>2.4594060533110712E-3</v>
      </c>
      <c r="AH12" s="85">
        <f>+'Vtas efectivo'!BK12</f>
        <v>180950</v>
      </c>
      <c r="AI12" s="237">
        <f t="shared" si="11"/>
        <v>1.6421753702827982E-3</v>
      </c>
      <c r="AJ12" s="289">
        <v>38316000</v>
      </c>
      <c r="AK12" s="109">
        <f>+J12-AJ12</f>
        <v>-7220.0999999940395</v>
      </c>
      <c r="AL12" s="110">
        <f t="shared" si="17"/>
        <v>633606.19999998808</v>
      </c>
      <c r="AM12" s="365"/>
      <c r="AN12" s="143">
        <f t="shared" si="18"/>
        <v>-38316000</v>
      </c>
      <c r="AO12" s="144">
        <f t="shared" si="19"/>
        <v>-104278000</v>
      </c>
    </row>
    <row r="13" spans="2:41" x14ac:dyDescent="0.15">
      <c r="B13" s="18">
        <v>11</v>
      </c>
      <c r="C13" s="25" t="str">
        <f>+Bioacem!C17</f>
        <v>M</v>
      </c>
      <c r="D13" s="333">
        <f>+'G. Corriente'!E17*'G. Corriente'!$G$4</f>
        <v>50413939.100000001</v>
      </c>
      <c r="E13" s="334">
        <f>+Bioacem!E17*Bioacem!$E$4</f>
        <v>52734985</v>
      </c>
      <c r="F13" s="334">
        <f>+'G. Extra'!E17*'G. Extra'!$G$4</f>
        <v>5959124.5999999996</v>
      </c>
      <c r="G13" s="335">
        <f t="shared" si="15"/>
        <v>109108048.69999999</v>
      </c>
      <c r="H13" s="89">
        <f>+Bioacem!E17+'G. Corriente'!E17+'G. Extra'!E17</f>
        <v>8554.25</v>
      </c>
      <c r="I13" s="158">
        <f>761+424+32+48+27+17+5+19</f>
        <v>1333</v>
      </c>
      <c r="J13" s="153">
        <f t="shared" ref="J13:J33" si="20">+G13-L13-P13-T13-V13-R13-X13-Z13-AB13-AD13-AF13-AH13</f>
        <v>41793114.699999988</v>
      </c>
      <c r="K13" s="102">
        <f t="shared" si="16"/>
        <v>0.38304337029170965</v>
      </c>
      <c r="L13" s="85">
        <f>10737100-N13</f>
        <v>10737100</v>
      </c>
      <c r="M13" s="155">
        <f t="shared" si="12"/>
        <v>9.8407955489355214E-2</v>
      </c>
      <c r="N13" s="85"/>
      <c r="O13" s="155">
        <f t="shared" si="13"/>
        <v>0</v>
      </c>
      <c r="P13" s="85"/>
      <c r="Q13" s="155">
        <f t="shared" si="2"/>
        <v>0</v>
      </c>
      <c r="R13" s="85">
        <v>6780813</v>
      </c>
      <c r="S13" s="155">
        <f t="shared" si="3"/>
        <v>6.2147688285071501E-2</v>
      </c>
      <c r="T13" s="85">
        <f>4744288+'Vtas efectivo'!BJ13</f>
        <v>5913315</v>
      </c>
      <c r="U13" s="155">
        <f t="shared" si="4"/>
        <v>5.4196872462260438E-2</v>
      </c>
      <c r="V13" s="85"/>
      <c r="W13" s="85">
        <f t="shared" si="5"/>
        <v>0</v>
      </c>
      <c r="X13" s="85">
        <v>639079</v>
      </c>
      <c r="Y13" s="155">
        <f t="shared" si="6"/>
        <v>5.8573039075897259E-3</v>
      </c>
      <c r="Z13" s="85">
        <f>40281428+1675239</f>
        <v>41956667</v>
      </c>
      <c r="AA13" s="155">
        <f t="shared" si="7"/>
        <v>0.38454236419682214</v>
      </c>
      <c r="AB13" s="346">
        <f>+'Vtas efectivo'!Z13</f>
        <v>1074960</v>
      </c>
      <c r="AC13" s="155">
        <f t="shared" si="8"/>
        <v>9.8522520822975738E-3</v>
      </c>
      <c r="AD13" s="244"/>
      <c r="AE13" s="155">
        <f t="shared" si="9"/>
        <v>0</v>
      </c>
      <c r="AF13" s="244">
        <v>213000</v>
      </c>
      <c r="AG13" s="155">
        <f t="shared" si="10"/>
        <v>1.952193284893748E-3</v>
      </c>
      <c r="AH13" s="85">
        <f>+'Vtas efectivo'!BK13</f>
        <v>0</v>
      </c>
      <c r="AI13" s="237">
        <f t="shared" si="11"/>
        <v>0</v>
      </c>
      <c r="AJ13" s="289">
        <v>41696000</v>
      </c>
      <c r="AK13" s="109">
        <f t="shared" si="14"/>
        <v>97114.699999988079</v>
      </c>
      <c r="AL13" s="110">
        <f t="shared" si="17"/>
        <v>730720.89999997616</v>
      </c>
      <c r="AM13" s="365"/>
      <c r="AN13" s="143">
        <f t="shared" si="18"/>
        <v>-41696000</v>
      </c>
      <c r="AO13" s="144">
        <f t="shared" si="19"/>
        <v>-145974000</v>
      </c>
    </row>
    <row r="14" spans="2:41" x14ac:dyDescent="0.15">
      <c r="B14" s="18">
        <v>12</v>
      </c>
      <c r="C14" s="25" t="str">
        <f>+Bioacem!C18</f>
        <v>J</v>
      </c>
      <c r="D14" s="333">
        <f>+'G. Corriente'!E18*'G. Corriente'!$G$4</f>
        <v>49553273.700000003</v>
      </c>
      <c r="E14" s="334">
        <f>+Bioacem!E18*Bioacem!$E$4</f>
        <v>54925835</v>
      </c>
      <c r="F14" s="334">
        <f>+'G. Extra'!E18*'G. Extra'!$G$4</f>
        <v>5475932.8000000007</v>
      </c>
      <c r="G14" s="335">
        <f t="shared" si="15"/>
        <v>109955041.5</v>
      </c>
      <c r="H14" s="89">
        <f>+Bioacem!E18+'G. Corriente'!E18+'G. Extra'!E18</f>
        <v>8674.6500000000015</v>
      </c>
      <c r="I14" s="158">
        <f>747+452+40+19+22+26+53+3+1</f>
        <v>1363</v>
      </c>
      <c r="J14" s="153">
        <f t="shared" si="20"/>
        <v>44030847.5</v>
      </c>
      <c r="K14" s="102">
        <f t="shared" si="16"/>
        <v>0.40044409878195536</v>
      </c>
      <c r="L14" s="85">
        <f>16226184-N14</f>
        <v>16048391</v>
      </c>
      <c r="M14" s="155">
        <f t="shared" si="12"/>
        <v>0.14595411707429531</v>
      </c>
      <c r="N14" s="85">
        <v>177793</v>
      </c>
      <c r="O14" s="155">
        <f t="shared" si="13"/>
        <v>1.6169608739586535E-3</v>
      </c>
      <c r="P14" s="85"/>
      <c r="Q14" s="155">
        <f t="shared" si="2"/>
        <v>0</v>
      </c>
      <c r="R14" s="85">
        <v>5490777</v>
      </c>
      <c r="S14" s="155">
        <f t="shared" si="3"/>
        <v>4.9936564300237199E-2</v>
      </c>
      <c r="T14" s="85">
        <f>4482331+'Vtas efectivo'!BJ14</f>
        <v>5143479</v>
      </c>
      <c r="U14" s="155">
        <f t="shared" si="4"/>
        <v>4.6778018814171429E-2</v>
      </c>
      <c r="V14" s="85">
        <v>30380</v>
      </c>
      <c r="W14" s="85">
        <f t="shared" si="5"/>
        <v>2.7629474361118766E-4</v>
      </c>
      <c r="X14" s="85">
        <v>418636</v>
      </c>
      <c r="Y14" s="155">
        <f t="shared" si="6"/>
        <v>3.8073379291116904E-3</v>
      </c>
      <c r="Z14" s="85">
        <f>38828801-1744507</f>
        <v>37084294</v>
      </c>
      <c r="AA14" s="155">
        <f t="shared" si="7"/>
        <v>0.33726779139999685</v>
      </c>
      <c r="AB14" s="346">
        <f>+'Vtas efectivo'!Z14</f>
        <v>1276237</v>
      </c>
      <c r="AC14" s="155">
        <f t="shared" si="8"/>
        <v>1.1606898443124139E-2</v>
      </c>
      <c r="AD14" s="244"/>
      <c r="AE14" s="155">
        <f t="shared" si="9"/>
        <v>0</v>
      </c>
      <c r="AF14" s="244">
        <v>432000</v>
      </c>
      <c r="AG14" s="155">
        <f t="shared" si="10"/>
        <v>3.9288785134968095E-3</v>
      </c>
      <c r="AH14" s="85">
        <f>+'Vtas efectivo'!BK14</f>
        <v>0</v>
      </c>
      <c r="AI14" s="237">
        <f t="shared" si="11"/>
        <v>0</v>
      </c>
      <c r="AJ14" s="289">
        <v>43608000</v>
      </c>
      <c r="AK14" s="109">
        <f>+J14-AJ14</f>
        <v>422847.5</v>
      </c>
      <c r="AL14" s="110">
        <f t="shared" si="17"/>
        <v>1153568.3999999762</v>
      </c>
      <c r="AM14" s="365">
        <v>114715000</v>
      </c>
      <c r="AN14" s="143">
        <f t="shared" si="18"/>
        <v>71107000</v>
      </c>
      <c r="AO14" s="144">
        <f t="shared" si="19"/>
        <v>-74867000</v>
      </c>
    </row>
    <row r="15" spans="2:41" x14ac:dyDescent="0.15">
      <c r="B15" s="18">
        <v>13</v>
      </c>
      <c r="C15" s="25" t="str">
        <f>+Bioacem!C19</f>
        <v>V</v>
      </c>
      <c r="D15" s="333">
        <f>+'G. Corriente'!E19*'G. Corriente'!$G$4</f>
        <v>55689122.300000004</v>
      </c>
      <c r="E15" s="334">
        <f>+Bioacem!E19*Bioacem!$E$4</f>
        <v>50430937.5</v>
      </c>
      <c r="F15" s="334">
        <f>+'G. Extra'!E19*'G. Extra'!$G$4</f>
        <v>8097709.0999999996</v>
      </c>
      <c r="G15" s="335">
        <f t="shared" si="15"/>
        <v>114217768.90000001</v>
      </c>
      <c r="H15" s="89">
        <f>+Bioacem!E19+'G. Corriente'!E19+'G. Extra'!E19</f>
        <v>8805.5499999999993</v>
      </c>
      <c r="I15" s="158">
        <f>716+460+30+56+38+14+6+4</f>
        <v>1324</v>
      </c>
      <c r="J15" s="153">
        <f>+G15-L15-P15-T15-V15-R15-X15-Z15-AB15-AD15-AF15-AH15</f>
        <v>36925127.900000006</v>
      </c>
      <c r="K15" s="102">
        <f t="shared" si="16"/>
        <v>0.32328707044110372</v>
      </c>
      <c r="L15" s="85">
        <f>14060713-N15</f>
        <v>13607841</v>
      </c>
      <c r="M15" s="155">
        <f t="shared" si="12"/>
        <v>0.11913943978291104</v>
      </c>
      <c r="N15" s="85">
        <v>452872</v>
      </c>
      <c r="O15" s="155">
        <f t="shared" si="13"/>
        <v>3.9649872726589385E-3</v>
      </c>
      <c r="P15" s="85"/>
      <c r="Q15" s="155">
        <f t="shared" si="2"/>
        <v>0</v>
      </c>
      <c r="R15" s="85">
        <v>6293578</v>
      </c>
      <c r="S15" s="155">
        <f t="shared" si="3"/>
        <v>5.5101566600466133E-2</v>
      </c>
      <c r="T15" s="85">
        <f>6619940+'Vtas efectivo'!BJ15</f>
        <v>7901832</v>
      </c>
      <c r="U15" s="155">
        <f t="shared" si="4"/>
        <v>6.9182160324968489E-2</v>
      </c>
      <c r="V15" s="85"/>
      <c r="W15" s="85">
        <f t="shared" si="5"/>
        <v>0</v>
      </c>
      <c r="X15" s="85">
        <v>1007629</v>
      </c>
      <c r="Y15" s="155">
        <f t="shared" si="6"/>
        <v>8.8219986233683111E-3</v>
      </c>
      <c r="Z15" s="85">
        <f>43735330+3567100</f>
        <v>47302430</v>
      </c>
      <c r="AA15" s="155">
        <f t="shared" si="7"/>
        <v>0.41414247936688597</v>
      </c>
      <c r="AB15" s="346">
        <f>+'Vtas efectivo'!Z15</f>
        <v>957331</v>
      </c>
      <c r="AC15" s="155">
        <f t="shared" si="8"/>
        <v>8.381629314070764E-3</v>
      </c>
      <c r="AD15" s="244"/>
      <c r="AE15" s="155">
        <f t="shared" si="9"/>
        <v>0</v>
      </c>
      <c r="AF15" s="244">
        <v>222000</v>
      </c>
      <c r="AG15" s="155">
        <f t="shared" si="10"/>
        <v>1.94365554622561E-3</v>
      </c>
      <c r="AH15" s="85">
        <f>+'Vtas efectivo'!BK15</f>
        <v>0</v>
      </c>
      <c r="AI15" s="237">
        <f t="shared" si="11"/>
        <v>0</v>
      </c>
      <c r="AJ15" s="289">
        <v>36864000</v>
      </c>
      <c r="AK15" s="109">
        <f t="shared" si="14"/>
        <v>61127.90000000596</v>
      </c>
      <c r="AL15" s="110">
        <f t="shared" si="17"/>
        <v>1214696.2999999821</v>
      </c>
      <c r="AM15" s="365">
        <v>38467000</v>
      </c>
      <c r="AN15" s="143">
        <f t="shared" si="18"/>
        <v>1603000</v>
      </c>
      <c r="AO15" s="144">
        <f t="shared" si="19"/>
        <v>-73264000</v>
      </c>
    </row>
    <row r="16" spans="2:41" x14ac:dyDescent="0.15">
      <c r="B16" s="18">
        <v>14</v>
      </c>
      <c r="C16" s="25" t="str">
        <f>+Bioacem!C20</f>
        <v>S</v>
      </c>
      <c r="D16" s="333">
        <f>+'G. Corriente'!E20*'G. Corriente'!$G$4</f>
        <v>87478906.199999988</v>
      </c>
      <c r="E16" s="334">
        <f>+Bioacem!E20*Bioacem!$E$4</f>
        <v>33863467.5</v>
      </c>
      <c r="F16" s="334">
        <f>+'G. Extra'!E20*'G. Extra'!$G$4</f>
        <v>14508583.699999999</v>
      </c>
      <c r="G16" s="335">
        <f t="shared" si="15"/>
        <v>135850957.39999998</v>
      </c>
      <c r="H16" s="89">
        <f>+Bioacem!E20+'G. Corriente'!E20+'G. Extra'!E20</f>
        <v>9711.98</v>
      </c>
      <c r="I16" s="158">
        <f>810+780+35+17+5+14+8+10</f>
        <v>1679</v>
      </c>
      <c r="J16" s="153">
        <f>+G16-L16-P16-T16-V16-R16-X16-Z16-AB16-AD16-AF16-AH16</f>
        <v>43294512.399999976</v>
      </c>
      <c r="K16" s="102">
        <f t="shared" si="16"/>
        <v>0.31869125715856</v>
      </c>
      <c r="L16" s="85">
        <f>11146543-N16</f>
        <v>11061843</v>
      </c>
      <c r="M16" s="155">
        <f t="shared" si="12"/>
        <v>8.1426316101913629E-2</v>
      </c>
      <c r="N16" s="85">
        <v>84700</v>
      </c>
      <c r="O16" s="155">
        <f t="shared" si="13"/>
        <v>6.2347738743282507E-4</v>
      </c>
      <c r="P16" s="85"/>
      <c r="Q16" s="155">
        <f t="shared" si="2"/>
        <v>0</v>
      </c>
      <c r="R16" s="85">
        <v>3571815</v>
      </c>
      <c r="S16" s="155">
        <f t="shared" si="3"/>
        <v>2.6292159204172091E-2</v>
      </c>
      <c r="T16" s="85">
        <f>1165343+'Vtas efectivo'!BJ16</f>
        <v>1800001</v>
      </c>
      <c r="U16" s="155">
        <f t="shared" si="4"/>
        <v>1.324982196997016E-2</v>
      </c>
      <c r="V16" s="85"/>
      <c r="W16" s="85">
        <f t="shared" si="5"/>
        <v>0</v>
      </c>
      <c r="X16" s="85">
        <v>721426</v>
      </c>
      <c r="Y16" s="155">
        <f t="shared" si="6"/>
        <v>5.3104226411583621E-3</v>
      </c>
      <c r="Z16" s="85">
        <f>72644960+1228876</f>
        <v>73873836</v>
      </c>
      <c r="AA16" s="155">
        <f t="shared" si="7"/>
        <v>0.54378590636270341</v>
      </c>
      <c r="AB16" s="346">
        <f>+'Vtas efectivo'!Z16</f>
        <v>1378524</v>
      </c>
      <c r="AC16" s="155">
        <f t="shared" si="8"/>
        <v>1.0147326352224885E-2</v>
      </c>
      <c r="AD16" s="244"/>
      <c r="AE16" s="155">
        <f t="shared" si="9"/>
        <v>0</v>
      </c>
      <c r="AF16" s="244">
        <v>149000</v>
      </c>
      <c r="AG16" s="155">
        <f t="shared" si="10"/>
        <v>1.0967902092974136E-3</v>
      </c>
      <c r="AH16" s="85">
        <f>+'Vtas efectivo'!BK16</f>
        <v>0</v>
      </c>
      <c r="AI16" s="237">
        <f t="shared" si="11"/>
        <v>0</v>
      </c>
      <c r="AJ16" s="289">
        <v>42839000</v>
      </c>
      <c r="AK16" s="109">
        <f>+J16-AJ16</f>
        <v>455512.39999997616</v>
      </c>
      <c r="AL16" s="110">
        <f t="shared" si="17"/>
        <v>1670208.6999999583</v>
      </c>
      <c r="AM16" s="365"/>
      <c r="AN16" s="143">
        <f t="shared" si="18"/>
        <v>-42839000</v>
      </c>
      <c r="AO16" s="144">
        <f t="shared" si="19"/>
        <v>-116103000</v>
      </c>
    </row>
    <row r="17" spans="2:44" x14ac:dyDescent="0.15">
      <c r="B17" s="18">
        <v>15</v>
      </c>
      <c r="C17" s="25" t="str">
        <f>+Bioacem!C21</f>
        <v>D</v>
      </c>
      <c r="D17" s="333">
        <f>+'G. Corriente'!E21*'G. Corriente'!$G$4</f>
        <v>72727745.299999997</v>
      </c>
      <c r="E17" s="334">
        <f>+Bioacem!E21*Bioacem!$E$4</f>
        <v>15621470</v>
      </c>
      <c r="F17" s="334">
        <f>+'G. Extra'!E21*'G. Extra'!$G$4</f>
        <v>8218778.0999999996</v>
      </c>
      <c r="G17" s="335">
        <f t="shared" si="15"/>
        <v>96567993.399999991</v>
      </c>
      <c r="H17" s="89">
        <f>+Bioacem!E21+'G. Corriente'!E21+'G. Extra'!E21</f>
        <v>6695.86</v>
      </c>
      <c r="I17" s="158">
        <f>708+550+19+10+8+14+1+1+1</f>
        <v>1312</v>
      </c>
      <c r="J17" s="153">
        <f>+G17-L17-P17-T17-V17-R17-X17-Z17-AB17-AD17-AF17-AH17</f>
        <v>39367127.399999991</v>
      </c>
      <c r="K17" s="102">
        <f>IF(J17=0,0,J17/G17)</f>
        <v>0.40766227001254013</v>
      </c>
      <c r="L17" s="85">
        <v>2499572</v>
      </c>
      <c r="M17" s="155">
        <f t="shared" si="12"/>
        <v>2.5884062741641272E-2</v>
      </c>
      <c r="N17" s="85"/>
      <c r="O17" s="155">
        <f t="shared" si="13"/>
        <v>0</v>
      </c>
      <c r="P17" s="85"/>
      <c r="Q17" s="155">
        <f t="shared" si="2"/>
        <v>0</v>
      </c>
      <c r="R17" s="85">
        <v>1431561</v>
      </c>
      <c r="S17" s="155">
        <f>IF(R17=0,0,R17/G17)</f>
        <v>1.4824383831506641E-2</v>
      </c>
      <c r="T17" s="85">
        <f>1101284+'Vtas efectivo'!BJ17</f>
        <v>1355253</v>
      </c>
      <c r="U17" s="155">
        <f t="shared" si="4"/>
        <v>1.40341841254413E-2</v>
      </c>
      <c r="V17" s="85">
        <v>53614</v>
      </c>
      <c r="W17" s="85">
        <f t="shared" si="5"/>
        <v>5.551943051971918E-4</v>
      </c>
      <c r="X17" s="85">
        <v>156396</v>
      </c>
      <c r="Y17" s="155">
        <f t="shared" si="6"/>
        <v>1.61954281634685E-3</v>
      </c>
      <c r="Z17" s="85">
        <f>49088860+1548153</f>
        <v>50637013</v>
      </c>
      <c r="AA17" s="155">
        <f t="shared" si="7"/>
        <v>0.52436642014765111</v>
      </c>
      <c r="AB17" s="346">
        <f>+'Vtas efectivo'!Z17</f>
        <v>604457</v>
      </c>
      <c r="AC17" s="155">
        <f t="shared" si="8"/>
        <v>6.2593927730924563E-3</v>
      </c>
      <c r="AD17" s="244"/>
      <c r="AE17" s="155">
        <f t="shared" si="9"/>
        <v>0</v>
      </c>
      <c r="AF17" s="244">
        <v>463000</v>
      </c>
      <c r="AG17" s="155">
        <f t="shared" si="10"/>
        <v>4.7945492465829784E-3</v>
      </c>
      <c r="AH17" s="85">
        <f>+'Vtas efectivo'!BK17</f>
        <v>0</v>
      </c>
      <c r="AI17" s="237">
        <f t="shared" si="11"/>
        <v>0</v>
      </c>
      <c r="AJ17" s="289">
        <v>39299000</v>
      </c>
      <c r="AK17" s="109">
        <f>+J17-AJ17</f>
        <v>68127.399999991059</v>
      </c>
      <c r="AL17" s="110">
        <f t="shared" si="17"/>
        <v>1738336.0999999493</v>
      </c>
      <c r="AM17" s="365"/>
      <c r="AN17" s="143">
        <f t="shared" si="18"/>
        <v>-39299000</v>
      </c>
      <c r="AO17" s="144">
        <f t="shared" si="19"/>
        <v>-155402000</v>
      </c>
      <c r="AR17" s="146"/>
    </row>
    <row r="18" spans="2:44" x14ac:dyDescent="0.15">
      <c r="B18" s="18">
        <v>16</v>
      </c>
      <c r="C18" s="118" t="str">
        <f>+Bioacem!C22</f>
        <v>L</v>
      </c>
      <c r="D18" s="333">
        <f>+'G. Corriente'!E22*'G. Corriente'!$G$4</f>
        <v>47347837.600000001</v>
      </c>
      <c r="E18" s="334">
        <f>+Bioacem!E22*Bioacem!$E$4</f>
        <v>64411635</v>
      </c>
      <c r="F18" s="334">
        <f>+'G. Extra'!E22*'G. Extra'!$G$4</f>
        <v>5419554.4000000004</v>
      </c>
      <c r="G18" s="335">
        <f t="shared" si="15"/>
        <v>117179027</v>
      </c>
      <c r="H18" s="89">
        <f>+Bioacem!E22+'G. Corriente'!E22+'G. Extra'!E22</f>
        <v>9408.74</v>
      </c>
      <c r="I18" s="158">
        <f>753+450+62+41+29+12+8+1+4</f>
        <v>1360</v>
      </c>
      <c r="J18" s="153">
        <f t="shared" si="20"/>
        <v>40884134</v>
      </c>
      <c r="K18" s="102">
        <f t="shared" si="16"/>
        <v>0.34890317018932065</v>
      </c>
      <c r="L18" s="496">
        <f>18563517-N18+29950</f>
        <v>18471507</v>
      </c>
      <c r="M18" s="155">
        <f t="shared" si="12"/>
        <v>0.15763492386739139</v>
      </c>
      <c r="N18" s="85">
        <v>121960</v>
      </c>
      <c r="O18" s="155">
        <f t="shared" si="13"/>
        <v>1.0408005862687355E-3</v>
      </c>
      <c r="P18" s="85"/>
      <c r="Q18" s="155">
        <f t="shared" si="2"/>
        <v>0</v>
      </c>
      <c r="R18" s="85">
        <v>7896585</v>
      </c>
      <c r="S18" s="155">
        <f t="shared" si="3"/>
        <v>6.7389064427032658E-2</v>
      </c>
      <c r="T18" s="85">
        <f>4910782+'Vtas efectivo'!BJ18</f>
        <v>6289095</v>
      </c>
      <c r="U18" s="155">
        <f t="shared" si="4"/>
        <v>5.3670824558049966E-2</v>
      </c>
      <c r="V18" s="85">
        <v>125667</v>
      </c>
      <c r="W18" s="85">
        <f t="shared" si="5"/>
        <v>1.0724359402642931E-3</v>
      </c>
      <c r="X18" s="85">
        <v>622758</v>
      </c>
      <c r="Y18" s="155">
        <f t="shared" si="6"/>
        <v>5.3145858601471403E-3</v>
      </c>
      <c r="Z18" s="85">
        <f>39298646+2239802</f>
        <v>41538448</v>
      </c>
      <c r="AA18" s="155">
        <f t="shared" si="7"/>
        <v>0.35448705338712189</v>
      </c>
      <c r="AB18" s="346">
        <f>+'Vtas efectivo'!Z18</f>
        <v>1234833</v>
      </c>
      <c r="AC18" s="155">
        <f t="shared" si="8"/>
        <v>1.0538003528566592E-2</v>
      </c>
      <c r="AD18" s="244"/>
      <c r="AE18" s="155">
        <f t="shared" si="9"/>
        <v>0</v>
      </c>
      <c r="AF18" s="244">
        <v>116000</v>
      </c>
      <c r="AG18" s="155">
        <f t="shared" si="10"/>
        <v>9.8993824210538966E-4</v>
      </c>
      <c r="AH18" s="85">
        <f>+'Vtas efectivo'!BK18</f>
        <v>0</v>
      </c>
      <c r="AI18" s="237">
        <f t="shared" si="11"/>
        <v>0</v>
      </c>
      <c r="AJ18" s="289">
        <v>40869000</v>
      </c>
      <c r="AK18" s="109">
        <f t="shared" si="14"/>
        <v>15134</v>
      </c>
      <c r="AL18" s="110">
        <f t="shared" si="17"/>
        <v>1753470.0999999493</v>
      </c>
      <c r="AM18" s="365">
        <v>124978000</v>
      </c>
      <c r="AN18" s="143">
        <f>+AM18-AJ18</f>
        <v>84109000</v>
      </c>
      <c r="AO18" s="144">
        <f t="shared" si="19"/>
        <v>-71293000</v>
      </c>
    </row>
    <row r="19" spans="2:44" x14ac:dyDescent="0.15">
      <c r="B19" s="18">
        <v>17</v>
      </c>
      <c r="C19" s="25" t="str">
        <f>+Bioacem!C23</f>
        <v>M</v>
      </c>
      <c r="D19" s="333">
        <f>+'G. Corriente'!E23*'G. Corriente'!$G$4</f>
        <v>53135683.300000004</v>
      </c>
      <c r="E19" s="334">
        <f>+Bioacem!E23*Bioacem!$E$4</f>
        <v>51249872.5</v>
      </c>
      <c r="F19" s="334">
        <f>+'G. Extra'!E23*'G. Extra'!$G$4</f>
        <v>5758005.5</v>
      </c>
      <c r="G19" s="335">
        <f t="shared" si="15"/>
        <v>110143561.30000001</v>
      </c>
      <c r="H19" s="89">
        <f>+Bioacem!E23+'G. Corriente'!E23+'G. Extra'!E23</f>
        <v>8584.15</v>
      </c>
      <c r="I19" s="158">
        <f>772+49+478+58+16+32+14+2+2</f>
        <v>1423</v>
      </c>
      <c r="J19" s="153">
        <f>+G19-L19-P19-T19-V19-R19-X19-Z19-AB19-AD19-AF19-AH19</f>
        <v>41584171.300000012</v>
      </c>
      <c r="K19" s="102">
        <f t="shared" si="16"/>
        <v>0.37754518565762052</v>
      </c>
      <c r="L19" s="85">
        <f>10704802-N19</f>
        <v>10481252</v>
      </c>
      <c r="M19" s="155">
        <f t="shared" si="12"/>
        <v>9.5159915625499206E-2</v>
      </c>
      <c r="N19" s="85">
        <v>223550</v>
      </c>
      <c r="O19" s="155">
        <f t="shared" si="13"/>
        <v>2.0296238596381757E-3</v>
      </c>
      <c r="P19" s="85"/>
      <c r="Q19" s="155">
        <f t="shared" si="2"/>
        <v>0</v>
      </c>
      <c r="R19" s="85">
        <v>8078185</v>
      </c>
      <c r="S19" s="155">
        <f t="shared" si="3"/>
        <v>7.3342326184617376E-2</v>
      </c>
      <c r="T19" s="85">
        <f>5580264+'Vtas efectivo'!BJ19</f>
        <v>6695453</v>
      </c>
      <c r="U19" s="155">
        <f t="shared" si="4"/>
        <v>6.078841941349139E-2</v>
      </c>
      <c r="V19" s="85">
        <v>470011</v>
      </c>
      <c r="W19" s="85">
        <f t="shared" si="5"/>
        <v>4.2672580625918071E-3</v>
      </c>
      <c r="X19" s="85">
        <v>100000</v>
      </c>
      <c r="Y19" s="155">
        <f t="shared" si="6"/>
        <v>9.0790599849616441E-4</v>
      </c>
      <c r="Z19" s="85">
        <f>39370234+1932518</f>
        <v>41302752</v>
      </c>
      <c r="AA19" s="155">
        <f t="shared" si="7"/>
        <v>0.3749901629519945</v>
      </c>
      <c r="AB19" s="346">
        <f>+'Vtas efectivo'!Z19</f>
        <v>1221737</v>
      </c>
      <c r="AC19" s="155">
        <f t="shared" si="8"/>
        <v>1.1092223508847084E-2</v>
      </c>
      <c r="AD19" s="85"/>
      <c r="AE19" s="155">
        <f t="shared" si="9"/>
        <v>0</v>
      </c>
      <c r="AF19" s="85">
        <v>210000</v>
      </c>
      <c r="AG19" s="155">
        <f t="shared" si="10"/>
        <v>1.9066025968419453E-3</v>
      </c>
      <c r="AH19" s="85">
        <f>+'Vtas efectivo'!BK19</f>
        <v>0</v>
      </c>
      <c r="AI19" s="237">
        <f t="shared" si="11"/>
        <v>0</v>
      </c>
      <c r="AJ19" s="289">
        <v>41422000</v>
      </c>
      <c r="AK19" s="109">
        <f t="shared" si="14"/>
        <v>162171.30000001192</v>
      </c>
      <c r="AL19" s="110">
        <f t="shared" si="17"/>
        <v>1915641.3999999613</v>
      </c>
      <c r="AM19" s="365"/>
      <c r="AN19" s="143">
        <f t="shared" si="18"/>
        <v>-41422000</v>
      </c>
      <c r="AO19" s="144">
        <f t="shared" si="19"/>
        <v>-112715000</v>
      </c>
    </row>
    <row r="20" spans="2:44" x14ac:dyDescent="0.15">
      <c r="B20" s="18">
        <v>18</v>
      </c>
      <c r="C20" s="25" t="str">
        <f>+Bioacem!C24</f>
        <v>M</v>
      </c>
      <c r="D20" s="333">
        <f>+'G. Corriente'!E24*'G. Corriente'!$G$4</f>
        <v>51048121.600000001</v>
      </c>
      <c r="E20" s="334">
        <f>+Bioacem!E24*Bioacem!$E$4</f>
        <v>55509775</v>
      </c>
      <c r="F20" s="334">
        <f>+'G. Extra'!E24*'G. Extra'!$G$4</f>
        <v>5105497.8000000007</v>
      </c>
      <c r="G20" s="335">
        <f t="shared" si="15"/>
        <v>111663394.39999999</v>
      </c>
      <c r="H20" s="89">
        <f>+Bioacem!E24+'G. Corriente'!E24+'G. Extra'!E24</f>
        <v>8806.880000000001</v>
      </c>
      <c r="I20" s="158">
        <f>758+449+42+56+20+5+33+7</f>
        <v>1370</v>
      </c>
      <c r="J20" s="153">
        <f t="shared" si="20"/>
        <v>36961326.399999991</v>
      </c>
      <c r="K20" s="102">
        <f t="shared" si="16"/>
        <v>0.33100665261524592</v>
      </c>
      <c r="L20" s="85">
        <f>14461260-N20</f>
        <v>14107915</v>
      </c>
      <c r="M20" s="155">
        <f t="shared" si="12"/>
        <v>0.12634323966064209</v>
      </c>
      <c r="N20" s="85">
        <v>353345</v>
      </c>
      <c r="O20" s="155">
        <f t="shared" si="13"/>
        <v>3.1643763105951221E-3</v>
      </c>
      <c r="P20" s="85"/>
      <c r="Q20" s="155">
        <f t="shared" si="2"/>
        <v>0</v>
      </c>
      <c r="R20" s="85">
        <v>7960980</v>
      </c>
      <c r="S20" s="155">
        <f t="shared" si="3"/>
        <v>7.1294447412929451E-2</v>
      </c>
      <c r="T20" s="85">
        <f>6302169+'Vtas efectivo'!BJ20</f>
        <v>6888035</v>
      </c>
      <c r="U20" s="155">
        <f t="shared" si="4"/>
        <v>6.1685703152867796E-2</v>
      </c>
      <c r="V20" s="85"/>
      <c r="W20" s="85">
        <f t="shared" si="5"/>
        <v>0</v>
      </c>
      <c r="X20" s="85">
        <v>931755</v>
      </c>
      <c r="Y20" s="155">
        <f t="shared" si="6"/>
        <v>8.3443191477976433E-3</v>
      </c>
      <c r="Z20" s="85">
        <f>39142824+3077715</f>
        <v>42220539</v>
      </c>
      <c r="AA20" s="155">
        <f t="shared" si="7"/>
        <v>0.37810545906170306</v>
      </c>
      <c r="AB20" s="346">
        <f>+'Vtas efectivo'!Z20</f>
        <v>2343044</v>
      </c>
      <c r="AC20" s="155">
        <f t="shared" si="8"/>
        <v>2.0983098468301625E-2</v>
      </c>
      <c r="AD20" s="85"/>
      <c r="AE20" s="155">
        <f t="shared" si="9"/>
        <v>0</v>
      </c>
      <c r="AF20" s="85">
        <v>142000</v>
      </c>
      <c r="AG20" s="155">
        <f t="shared" si="10"/>
        <v>1.2716790561759961E-3</v>
      </c>
      <c r="AH20" s="85">
        <f>+'Vtas efectivo'!BK20</f>
        <v>107800</v>
      </c>
      <c r="AI20" s="237">
        <f t="shared" si="11"/>
        <v>9.6540142433642522E-4</v>
      </c>
      <c r="AJ20" s="289">
        <v>36773000</v>
      </c>
      <c r="AK20" s="109">
        <f t="shared" si="14"/>
        <v>188326.39999999106</v>
      </c>
      <c r="AL20" s="110">
        <f t="shared" si="17"/>
        <v>2103967.7999999523</v>
      </c>
      <c r="AM20" s="374"/>
      <c r="AN20" s="143">
        <f t="shared" si="18"/>
        <v>-36773000</v>
      </c>
      <c r="AO20" s="144">
        <f t="shared" si="19"/>
        <v>-149488000</v>
      </c>
    </row>
    <row r="21" spans="2:44" x14ac:dyDescent="0.15">
      <c r="B21" s="18">
        <v>19</v>
      </c>
      <c r="C21" s="25" t="str">
        <f>+Bioacem!C25</f>
        <v>J</v>
      </c>
      <c r="D21" s="333">
        <f>+'G. Corriente'!E25*'G. Corriente'!$G$4</f>
        <v>52638514.600000001</v>
      </c>
      <c r="E21" s="334">
        <f>+Bioacem!E25*Bioacem!$E$4</f>
        <v>51555172.5</v>
      </c>
      <c r="F21" s="334">
        <f>+'G. Extra'!E25*'G. Extra'!$G$4</f>
        <v>6145607</v>
      </c>
      <c r="G21" s="335">
        <f t="shared" si="15"/>
        <v>110339294.09999999</v>
      </c>
      <c r="H21" s="89">
        <f>+Bioacem!E25+'G. Corriente'!E25+'G. Extra'!E25</f>
        <v>8601.27</v>
      </c>
      <c r="I21" s="158">
        <f>707+442+27+47+24+58+3+21+1</f>
        <v>1330</v>
      </c>
      <c r="J21" s="153">
        <f>+G21-L21-P21-T21-V21-R21-X21-Z21-AB21-AD21-AF21-AH21</f>
        <v>37332189.099999994</v>
      </c>
      <c r="K21" s="102">
        <f t="shared" si="16"/>
        <v>0.33833993052525785</v>
      </c>
      <c r="L21" s="85">
        <f>14794561-N21</f>
        <v>14756723</v>
      </c>
      <c r="M21" s="155">
        <f t="shared" si="12"/>
        <v>0.13373950885190591</v>
      </c>
      <c r="N21" s="85">
        <v>37838</v>
      </c>
      <c r="O21" s="155">
        <f t="shared" si="13"/>
        <v>3.4292407168843761E-4</v>
      </c>
      <c r="P21" s="85"/>
      <c r="Q21" s="155">
        <f t="shared" si="2"/>
        <v>0</v>
      </c>
      <c r="R21" s="85">
        <v>7376378</v>
      </c>
      <c r="S21" s="155">
        <f t="shared" si="3"/>
        <v>6.6851778055737984E-2</v>
      </c>
      <c r="T21" s="85">
        <f>4315529+'Vtas efectivo'!BJ21</f>
        <v>4686438</v>
      </c>
      <c r="U21" s="155">
        <f t="shared" si="4"/>
        <v>4.2472974276532009E-2</v>
      </c>
      <c r="V21" s="85">
        <v>159000</v>
      </c>
      <c r="W21" s="85">
        <f t="shared" si="5"/>
        <v>1.4410097626317876E-3</v>
      </c>
      <c r="X21" s="85">
        <v>627249</v>
      </c>
      <c r="Y21" s="155">
        <f t="shared" si="6"/>
        <v>5.6847291358555103E-3</v>
      </c>
      <c r="Z21" s="85">
        <f>41428002+2097307</f>
        <v>43525309</v>
      </c>
      <c r="AA21" s="155">
        <f t="shared" si="7"/>
        <v>0.39446789428028434</v>
      </c>
      <c r="AB21" s="346">
        <f>+'Vtas efectivo'!Z21</f>
        <v>1546008</v>
      </c>
      <c r="AC21" s="155">
        <f t="shared" si="8"/>
        <v>1.4011400132747452E-2</v>
      </c>
      <c r="AD21" s="85"/>
      <c r="AE21" s="155">
        <f t="shared" si="9"/>
        <v>0</v>
      </c>
      <c r="AF21" s="85">
        <v>330000</v>
      </c>
      <c r="AG21" s="155">
        <f t="shared" si="10"/>
        <v>2.9907749790471063E-3</v>
      </c>
      <c r="AH21" s="85">
        <f>+'Vtas efectivo'!BK21</f>
        <v>0</v>
      </c>
      <c r="AI21" s="237">
        <f t="shared" si="11"/>
        <v>0</v>
      </c>
      <c r="AJ21" s="289">
        <v>37212000</v>
      </c>
      <c r="AK21" s="109">
        <f t="shared" si="14"/>
        <v>120189.09999999404</v>
      </c>
      <c r="AL21" s="110">
        <f t="shared" si="17"/>
        <v>2224156.8999999464</v>
      </c>
      <c r="AM21" s="374">
        <v>117573000</v>
      </c>
      <c r="AN21" s="143">
        <f t="shared" si="18"/>
        <v>80361000</v>
      </c>
      <c r="AO21" s="144">
        <f t="shared" si="19"/>
        <v>-69127000</v>
      </c>
    </row>
    <row r="22" spans="2:44" x14ac:dyDescent="0.15">
      <c r="B22" s="18">
        <v>20</v>
      </c>
      <c r="C22" s="25" t="str">
        <f>+Bioacem!C26</f>
        <v>V</v>
      </c>
      <c r="D22" s="333">
        <f>+'G. Corriente'!E26*'G. Corriente'!$G$4</f>
        <v>63973444.5</v>
      </c>
      <c r="E22" s="334">
        <f>+Bioacem!E26*Bioacem!$E$4</f>
        <v>56111130</v>
      </c>
      <c r="F22" s="334">
        <f>+'G. Extra'!E26*'G. Extra'!$G$4</f>
        <v>8168724.2000000002</v>
      </c>
      <c r="G22" s="335">
        <f t="shared" si="15"/>
        <v>128253298.7</v>
      </c>
      <c r="H22" s="89">
        <f>+Bioacem!E26+'G. Corriente'!E26+'G. Extra'!E26</f>
        <v>9883.25</v>
      </c>
      <c r="I22" s="158">
        <f>829+500+25+39+53+27+14+4+1</f>
        <v>1492</v>
      </c>
      <c r="J22" s="153">
        <f t="shared" si="20"/>
        <v>47443549.700000003</v>
      </c>
      <c r="K22" s="102">
        <f t="shared" si="16"/>
        <v>0.36992069740815176</v>
      </c>
      <c r="L22" s="85">
        <f>15020059-N22</f>
        <v>14923809</v>
      </c>
      <c r="M22" s="155">
        <f t="shared" si="12"/>
        <v>0.11636198952596609</v>
      </c>
      <c r="N22" s="85">
        <v>96250</v>
      </c>
      <c r="O22" s="155">
        <f t="shared" si="13"/>
        <v>7.5046802675337351E-4</v>
      </c>
      <c r="P22" s="85"/>
      <c r="Q22" s="155">
        <f t="shared" si="2"/>
        <v>0</v>
      </c>
      <c r="R22" s="85">
        <v>6068321</v>
      </c>
      <c r="S22" s="155">
        <f t="shared" si="3"/>
        <v>4.7315126094296708E-2</v>
      </c>
      <c r="T22" s="85">
        <f>3466410+'Vtas efectivo'!BJ22</f>
        <v>5559122</v>
      </c>
      <c r="U22" s="155">
        <f t="shared" si="4"/>
        <v>4.3344865639701476E-2</v>
      </c>
      <c r="V22" s="85">
        <v>53362</v>
      </c>
      <c r="W22" s="85">
        <f t="shared" si="5"/>
        <v>4.1606727110247809E-4</v>
      </c>
      <c r="X22" s="85">
        <v>526586</v>
      </c>
      <c r="Y22" s="155">
        <f t="shared" si="6"/>
        <v>4.1058281177761237E-3</v>
      </c>
      <c r="Z22" s="85">
        <f>47609227+4017539</f>
        <v>51626766</v>
      </c>
      <c r="AA22" s="155">
        <f t="shared" si="7"/>
        <v>0.40253752943042237</v>
      </c>
      <c r="AB22" s="346">
        <f>+'Vtas efectivo'!Z22</f>
        <v>1726783</v>
      </c>
      <c r="AC22" s="155">
        <f t="shared" si="8"/>
        <v>1.3463848630039174E-2</v>
      </c>
      <c r="AD22" s="85"/>
      <c r="AE22" s="155">
        <f t="shared" si="9"/>
        <v>0</v>
      </c>
      <c r="AF22" s="85">
        <v>325000</v>
      </c>
      <c r="AG22" s="155">
        <f t="shared" si="10"/>
        <v>2.5340478825438585E-3</v>
      </c>
      <c r="AH22" s="85">
        <f>+'Vtas efectivo'!BK22</f>
        <v>0</v>
      </c>
      <c r="AI22" s="237">
        <f t="shared" si="11"/>
        <v>0</v>
      </c>
      <c r="AJ22" s="289">
        <v>47271000</v>
      </c>
      <c r="AK22" s="109">
        <f t="shared" si="14"/>
        <v>172549.70000000298</v>
      </c>
      <c r="AL22" s="110">
        <f t="shared" si="17"/>
        <v>2396706.5999999493</v>
      </c>
      <c r="AM22" s="374">
        <v>33496000</v>
      </c>
      <c r="AN22" s="143">
        <f t="shared" si="18"/>
        <v>-13775000</v>
      </c>
      <c r="AO22" s="144">
        <f t="shared" si="19"/>
        <v>-82902000</v>
      </c>
    </row>
    <row r="23" spans="2:44" x14ac:dyDescent="0.15">
      <c r="B23" s="18">
        <v>21</v>
      </c>
      <c r="C23" s="25" t="str">
        <f>+Bioacem!C27</f>
        <v>S</v>
      </c>
      <c r="D23" s="333">
        <f>+'G. Corriente'!E27*'G. Corriente'!$G$4</f>
        <v>81926201.700000003</v>
      </c>
      <c r="E23" s="334">
        <f>+Bioacem!E27*Bioacem!$E$4</f>
        <v>32103800</v>
      </c>
      <c r="F23" s="334">
        <f>+'G. Extra'!E27*'G. Extra'!$G$4</f>
        <v>13641404.399999999</v>
      </c>
      <c r="G23" s="335">
        <f t="shared" si="15"/>
        <v>127671406.09999999</v>
      </c>
      <c r="H23" s="89">
        <f>+Bioacem!E27+'G. Corriente'!E27+'G. Extra'!E27</f>
        <v>9134.75</v>
      </c>
      <c r="I23" s="158">
        <f>875+707+13+25+10+18+2+3+13+3</f>
        <v>1669</v>
      </c>
      <c r="J23" s="153">
        <f t="shared" si="20"/>
        <v>46151452.099999994</v>
      </c>
      <c r="K23" s="102">
        <f t="shared" si="16"/>
        <v>0.36148620517151175</v>
      </c>
      <c r="L23" s="496">
        <f>7217375-N23</f>
        <v>7155775</v>
      </c>
      <c r="M23" s="155">
        <f t="shared" si="12"/>
        <v>5.6048376207239098E-2</v>
      </c>
      <c r="N23" s="85">
        <v>61600</v>
      </c>
      <c r="O23" s="155">
        <f t="shared" si="13"/>
        <v>4.8248861574964674E-4</v>
      </c>
      <c r="P23" s="85"/>
      <c r="Q23" s="155">
        <f t="shared" si="2"/>
        <v>0</v>
      </c>
      <c r="R23" s="85">
        <v>2826430</v>
      </c>
      <c r="S23" s="155">
        <f t="shared" si="3"/>
        <v>2.2138316529436267E-2</v>
      </c>
      <c r="T23" s="85">
        <f>1872042+'Vtas efectivo'!BJ23</f>
        <v>2256236</v>
      </c>
      <c r="U23" s="155">
        <f t="shared" si="4"/>
        <v>1.7672210786437013E-2</v>
      </c>
      <c r="V23" s="85">
        <v>339759</v>
      </c>
      <c r="W23" s="85">
        <f t="shared" si="5"/>
        <v>2.6611988571182505E-3</v>
      </c>
      <c r="X23" s="85">
        <v>472261</v>
      </c>
      <c r="Y23" s="155">
        <f t="shared" si="6"/>
        <v>3.6990350026386998E-3</v>
      </c>
      <c r="Z23" s="85">
        <f>63528381+3735732</f>
        <v>67264113</v>
      </c>
      <c r="AA23" s="155">
        <f t="shared" si="7"/>
        <v>0.52685338913957491</v>
      </c>
      <c r="AB23" s="346">
        <f>+'Vtas efectivo'!Z23</f>
        <v>830380</v>
      </c>
      <c r="AC23" s="155">
        <f t="shared" si="8"/>
        <v>6.5040405315940205E-3</v>
      </c>
      <c r="AD23" s="85"/>
      <c r="AE23" s="155">
        <f t="shared" si="9"/>
        <v>0</v>
      </c>
      <c r="AF23" s="85">
        <v>375000</v>
      </c>
      <c r="AG23" s="155">
        <f t="shared" si="10"/>
        <v>2.9372277744499596E-3</v>
      </c>
      <c r="AH23" s="85">
        <f>+'Vtas efectivo'!BK23</f>
        <v>0</v>
      </c>
      <c r="AI23" s="237">
        <f t="shared" si="11"/>
        <v>0</v>
      </c>
      <c r="AJ23" s="289">
        <v>46067000</v>
      </c>
      <c r="AK23" s="109">
        <f t="shared" si="14"/>
        <v>84452.09999999404</v>
      </c>
      <c r="AL23" s="110">
        <f t="shared" si="17"/>
        <v>2481158.6999999434</v>
      </c>
      <c r="AM23" s="374"/>
      <c r="AN23" s="143">
        <f t="shared" si="18"/>
        <v>-46067000</v>
      </c>
      <c r="AO23" s="144">
        <f t="shared" si="19"/>
        <v>-128969000</v>
      </c>
    </row>
    <row r="24" spans="2:44" x14ac:dyDescent="0.15">
      <c r="B24" s="18">
        <v>22</v>
      </c>
      <c r="C24" s="25" t="str">
        <f>+Bioacem!C28</f>
        <v>D</v>
      </c>
      <c r="D24" s="333">
        <f>+'G. Corriente'!E28*'G. Corriente'!$G$4</f>
        <v>64132331.900000006</v>
      </c>
      <c r="E24" s="334">
        <f>+Bioacem!E28*Bioacem!$E$4</f>
        <v>15291660</v>
      </c>
      <c r="F24" s="334">
        <f>+'G. Extra'!E28*'G. Extra'!$G$4</f>
        <v>11045287.5</v>
      </c>
      <c r="G24" s="335">
        <f t="shared" si="15"/>
        <v>90469279.400000006</v>
      </c>
      <c r="H24" s="89">
        <f>+Bioacem!E28+'G. Corriente'!E28+'G. Extra'!E28</f>
        <v>6255.74</v>
      </c>
      <c r="I24" s="158">
        <f>678+516+8+20+2+12+10+1</f>
        <v>1247</v>
      </c>
      <c r="J24" s="153">
        <f t="shared" si="20"/>
        <v>35478399.400000006</v>
      </c>
      <c r="K24" s="102">
        <f t="shared" si="16"/>
        <v>0.39215963291954775</v>
      </c>
      <c r="L24" s="85">
        <f>2803839-N24</f>
        <v>2767329</v>
      </c>
      <c r="M24" s="155">
        <f t="shared" si="12"/>
        <v>3.0588604422994884E-2</v>
      </c>
      <c r="N24" s="85">
        <v>36510</v>
      </c>
      <c r="O24" s="155">
        <f t="shared" si="13"/>
        <v>4.0356240529533825E-4</v>
      </c>
      <c r="P24" s="85"/>
      <c r="Q24" s="155">
        <f t="shared" si="2"/>
        <v>0</v>
      </c>
      <c r="R24" s="85">
        <v>3197049</v>
      </c>
      <c r="S24" s="155">
        <f t="shared" si="3"/>
        <v>3.5338504088936074E-2</v>
      </c>
      <c r="T24" s="85">
        <f>+'Vtas efectivo'!BJ24</f>
        <v>166331</v>
      </c>
      <c r="U24" s="155">
        <f t="shared" si="4"/>
        <v>1.8385357007718135E-3</v>
      </c>
      <c r="V24" s="85">
        <v>184676</v>
      </c>
      <c r="W24" s="85">
        <f t="shared" ref="W24:W33" si="21">IF(V24=0,0,V24/G24)</f>
        <v>2.0413117162509419E-3</v>
      </c>
      <c r="X24" s="85"/>
      <c r="Y24" s="155">
        <f t="shared" si="6"/>
        <v>0</v>
      </c>
      <c r="Z24" s="85">
        <f>45437466+2555752</f>
        <v>47993218</v>
      </c>
      <c r="AA24" s="155">
        <f t="shared" si="7"/>
        <v>0.53049187877139203</v>
      </c>
      <c r="AB24" s="346">
        <f>+'Vtas efectivo'!Z24</f>
        <v>346277</v>
      </c>
      <c r="AC24" s="155">
        <f t="shared" si="8"/>
        <v>3.8275644759916145E-3</v>
      </c>
      <c r="AD24" s="85"/>
      <c r="AE24" s="155">
        <f t="shared" si="9"/>
        <v>0</v>
      </c>
      <c r="AF24" s="85">
        <v>336000</v>
      </c>
      <c r="AG24" s="155">
        <f t="shared" si="10"/>
        <v>3.7139679041148631E-3</v>
      </c>
      <c r="AH24" s="85">
        <f>+'Vtas efectivo'!BK24</f>
        <v>0</v>
      </c>
      <c r="AI24" s="237">
        <f t="shared" si="11"/>
        <v>0</v>
      </c>
      <c r="AJ24" s="289">
        <v>35499000</v>
      </c>
      <c r="AK24" s="109">
        <f t="shared" si="14"/>
        <v>-20600.59999999404</v>
      </c>
      <c r="AL24" s="110">
        <f t="shared" si="17"/>
        <v>2460558.0999999493</v>
      </c>
      <c r="AM24" s="374"/>
      <c r="AN24" s="143">
        <f t="shared" si="18"/>
        <v>-35499000</v>
      </c>
      <c r="AO24" s="144">
        <f>+AO23+AN24</f>
        <v>-164468000</v>
      </c>
    </row>
    <row r="25" spans="2:44" x14ac:dyDescent="0.15">
      <c r="B25" s="18">
        <v>23</v>
      </c>
      <c r="C25" s="118" t="str">
        <f>+Bioacem!C29</f>
        <v>L</v>
      </c>
      <c r="D25" s="333">
        <f>+'G. Corriente'!E29*'G. Corriente'!$G$4</f>
        <v>50196570.199999996</v>
      </c>
      <c r="E25" s="334">
        <f>+Bioacem!E29*Bioacem!$E$4</f>
        <v>56028892.5</v>
      </c>
      <c r="F25" s="334">
        <f>+'G. Extra'!E29*'G. Extra'!$G$4</f>
        <v>6405815</v>
      </c>
      <c r="G25" s="335">
        <f t="shared" si="15"/>
        <v>112631277.69999999</v>
      </c>
      <c r="H25" s="89">
        <f>+Bioacem!E29+'G. Corriente'!E29+'G. Extra'!E29</f>
        <v>8871.07</v>
      </c>
      <c r="I25" s="158">
        <f>756+433+44+30+62+8+4+12+2+1</f>
        <v>1352</v>
      </c>
      <c r="J25" s="153">
        <f t="shared" si="20"/>
        <v>45243549.699999988</v>
      </c>
      <c r="K25" s="102">
        <f t="shared" si="16"/>
        <v>0.40169614181691904</v>
      </c>
      <c r="L25" s="496">
        <f>12857685+N25</f>
        <v>12857685</v>
      </c>
      <c r="M25" s="155">
        <f t="shared" si="12"/>
        <v>0.11415732168330006</v>
      </c>
      <c r="N25" s="85"/>
      <c r="O25" s="155">
        <f t="shared" si="13"/>
        <v>0</v>
      </c>
      <c r="P25" s="85"/>
      <c r="Q25" s="155">
        <f t="shared" si="2"/>
        <v>0</v>
      </c>
      <c r="R25" s="85">
        <f>7134610+79003</f>
        <v>7213613</v>
      </c>
      <c r="S25" s="155">
        <f t="shared" si="3"/>
        <v>6.4046268028796413E-2</v>
      </c>
      <c r="T25" s="85">
        <f>5546456+'Vtas efectivo'!BJ25</f>
        <v>5817861</v>
      </c>
      <c r="U25" s="155">
        <f t="shared" si="4"/>
        <v>5.1654044230024752E-2</v>
      </c>
      <c r="V25" s="85"/>
      <c r="W25" s="85">
        <f t="shared" si="21"/>
        <v>0</v>
      </c>
      <c r="X25" s="85">
        <v>532290</v>
      </c>
      <c r="Y25" s="155">
        <f t="shared" si="6"/>
        <v>4.7259518924910506E-3</v>
      </c>
      <c r="Z25" s="85">
        <f>39556343-769035</f>
        <v>38787308</v>
      </c>
      <c r="AA25" s="155">
        <f t="shared" si="7"/>
        <v>0.3443742163993937</v>
      </c>
      <c r="AB25" s="346">
        <f>+'Vtas efectivo'!Z25</f>
        <v>1975971</v>
      </c>
      <c r="AC25" s="155">
        <f t="shared" si="8"/>
        <v>1.7543714679887717E-2</v>
      </c>
      <c r="AD25" s="85"/>
      <c r="AE25" s="155">
        <f t="shared" si="9"/>
        <v>0</v>
      </c>
      <c r="AF25" s="85">
        <v>203000</v>
      </c>
      <c r="AG25" s="155">
        <f t="shared" si="10"/>
        <v>1.8023412691872537E-3</v>
      </c>
      <c r="AH25" s="85">
        <f>+'Vtas efectivo'!BK25</f>
        <v>0</v>
      </c>
      <c r="AI25" s="237">
        <f t="shared" si="11"/>
        <v>0</v>
      </c>
      <c r="AJ25" s="289">
        <v>45153000</v>
      </c>
      <c r="AK25" s="109">
        <f t="shared" si="14"/>
        <v>90549.699999988079</v>
      </c>
      <c r="AL25" s="110">
        <f t="shared" si="17"/>
        <v>2551107.7999999374</v>
      </c>
      <c r="AM25" s="374">
        <v>121884000</v>
      </c>
      <c r="AN25" s="143">
        <f t="shared" si="18"/>
        <v>76731000</v>
      </c>
      <c r="AO25" s="144">
        <f t="shared" si="19"/>
        <v>-87737000</v>
      </c>
    </row>
    <row r="26" spans="2:44" x14ac:dyDescent="0.15">
      <c r="B26" s="18">
        <v>24</v>
      </c>
      <c r="C26" s="25" t="str">
        <f>+Bioacem!C30</f>
        <v>M</v>
      </c>
      <c r="D26" s="333">
        <f>+'G. Corriente'!E30*'G. Corriente'!$G$4</f>
        <v>48361162.5</v>
      </c>
      <c r="E26" s="334">
        <f>+Bioacem!E30*Bioacem!$E$4</f>
        <v>53639597.499999993</v>
      </c>
      <c r="F26" s="334">
        <f>+'G. Extra'!E30*'G. Extra'!$G$4</f>
        <v>5177416.3999999994</v>
      </c>
      <c r="G26" s="335">
        <f t="shared" si="15"/>
        <v>107178176.40000001</v>
      </c>
      <c r="H26" s="89">
        <f>+Bioacem!E30+'G. Corriente'!E30+'G. Extra'!E30</f>
        <v>8460</v>
      </c>
      <c r="I26" s="158">
        <f>747+427+50+48+19+24+8+1+2+3</f>
        <v>1329</v>
      </c>
      <c r="J26" s="153">
        <f t="shared" si="20"/>
        <v>37823715.400000006</v>
      </c>
      <c r="K26" s="102">
        <f t="shared" si="16"/>
        <v>0.35290500986728868</v>
      </c>
      <c r="L26" s="85">
        <f>12991088-N26</f>
        <v>12666575</v>
      </c>
      <c r="M26" s="155">
        <f t="shared" si="12"/>
        <v>0.11818240826124002</v>
      </c>
      <c r="N26" s="85">
        <v>324513</v>
      </c>
      <c r="O26" s="155">
        <f t="shared" si="13"/>
        <v>3.0277898999595218E-3</v>
      </c>
      <c r="P26" s="85"/>
      <c r="Q26" s="155">
        <f t="shared" si="2"/>
        <v>0</v>
      </c>
      <c r="R26" s="85">
        <v>9730177</v>
      </c>
      <c r="S26" s="155">
        <f t="shared" si="3"/>
        <v>9.0785058365669302E-2</v>
      </c>
      <c r="T26" s="85">
        <f>4747126+'Vtas efectivo'!BJ26</f>
        <v>6188609</v>
      </c>
      <c r="U26" s="155">
        <f t="shared" si="4"/>
        <v>5.7741316449567801E-2</v>
      </c>
      <c r="V26" s="85">
        <v>337733</v>
      </c>
      <c r="W26" s="85">
        <f t="shared" si="21"/>
        <v>3.1511359060593233E-3</v>
      </c>
      <c r="X26" s="85">
        <v>375181</v>
      </c>
      <c r="Y26" s="155">
        <f t="shared" si="6"/>
        <v>3.5005353944424825E-3</v>
      </c>
      <c r="Z26" s="85">
        <f>37238998+702186</f>
        <v>37941184</v>
      </c>
      <c r="AA26" s="155">
        <f t="shared" si="7"/>
        <v>0.35400102217077839</v>
      </c>
      <c r="AB26" s="346">
        <f>+'Vtas efectivo'!Z26</f>
        <v>1993002</v>
      </c>
      <c r="AC26" s="155">
        <f t="shared" si="8"/>
        <v>1.8595222151960404E-2</v>
      </c>
      <c r="AD26" s="85"/>
      <c r="AE26" s="155">
        <f t="shared" si="9"/>
        <v>0</v>
      </c>
      <c r="AF26" s="85">
        <v>122000</v>
      </c>
      <c r="AG26" s="155">
        <f t="shared" si="10"/>
        <v>1.1382914329936295E-3</v>
      </c>
      <c r="AH26" s="85">
        <f>+'Vtas efectivo'!BK26</f>
        <v>0</v>
      </c>
      <c r="AI26" s="237">
        <f t="shared" si="11"/>
        <v>0</v>
      </c>
      <c r="AJ26" s="289">
        <v>37748000</v>
      </c>
      <c r="AK26" s="109">
        <f>+J26-AJ26</f>
        <v>75715.40000000596</v>
      </c>
      <c r="AL26" s="110">
        <f t="shared" si="17"/>
        <v>2626823.1999999434</v>
      </c>
      <c r="AM26" s="374"/>
      <c r="AN26" s="143">
        <f t="shared" si="18"/>
        <v>-37748000</v>
      </c>
      <c r="AO26" s="144">
        <f>+AO25+AN26</f>
        <v>-125485000</v>
      </c>
    </row>
    <row r="27" spans="2:44" x14ac:dyDescent="0.15">
      <c r="B27" s="18">
        <v>25</v>
      </c>
      <c r="C27" s="25" t="str">
        <f>+Bioacem!C31</f>
        <v>M</v>
      </c>
      <c r="D27" s="333">
        <f>+'G. Corriente'!E31*'G. Corriente'!$G$4</f>
        <v>52674059.199999996</v>
      </c>
      <c r="E27" s="334">
        <f>+Bioacem!E31*Bioacem!$E$4</f>
        <v>59307857.5</v>
      </c>
      <c r="F27" s="334">
        <f>+'G. Extra'!E31*'G. Extra'!$G$4</f>
        <v>6114165.2000000002</v>
      </c>
      <c r="G27" s="335">
        <f t="shared" si="15"/>
        <v>118096081.89999999</v>
      </c>
      <c r="H27" s="89">
        <f>+Bioacem!E31+'G. Corriente'!E31+'G. Extra'!E31</f>
        <v>9323.0500000000011</v>
      </c>
      <c r="I27" s="158">
        <f>811+504+39+31+57+15+2+14+1</f>
        <v>1474</v>
      </c>
      <c r="J27" s="86">
        <f t="shared" si="20"/>
        <v>43240452.899999991</v>
      </c>
      <c r="K27" s="102">
        <f t="shared" si="16"/>
        <v>0.36614638017046691</v>
      </c>
      <c r="L27" s="85">
        <f>14231794-N27</f>
        <v>14181744</v>
      </c>
      <c r="M27" s="245">
        <f t="shared" si="12"/>
        <v>0.12008649035459661</v>
      </c>
      <c r="N27" s="85">
        <v>50050</v>
      </c>
      <c r="O27" s="155">
        <f t="shared" si="13"/>
        <v>4.2380745571542964E-4</v>
      </c>
      <c r="P27" s="85"/>
      <c r="Q27" s="155">
        <f t="shared" si="2"/>
        <v>0</v>
      </c>
      <c r="R27" s="85">
        <v>7290298</v>
      </c>
      <c r="S27" s="245">
        <f t="shared" si="3"/>
        <v>6.1731921014730975E-2</v>
      </c>
      <c r="T27" s="85">
        <f>6122993+'Vtas efectivo'!BJ27</f>
        <v>6512756</v>
      </c>
      <c r="U27" s="245">
        <f t="shared" si="4"/>
        <v>5.5147943058049924E-2</v>
      </c>
      <c r="V27" s="244"/>
      <c r="W27" s="244">
        <f t="shared" si="21"/>
        <v>0</v>
      </c>
      <c r="X27" s="85">
        <v>307686</v>
      </c>
      <c r="Y27" s="245">
        <f t="shared" si="6"/>
        <v>2.605387029355798E-3</v>
      </c>
      <c r="Z27" s="85">
        <f>44171403+1514885</f>
        <v>45686288</v>
      </c>
      <c r="AA27" s="245">
        <f t="shared" si="7"/>
        <v>0.38685693263461268</v>
      </c>
      <c r="AB27" s="346">
        <f>+'Vtas efectivo'!Z27</f>
        <v>460557</v>
      </c>
      <c r="AC27" s="245">
        <f t="shared" si="8"/>
        <v>3.8998499576809419E-3</v>
      </c>
      <c r="AD27" s="85"/>
      <c r="AE27" s="155">
        <f t="shared" si="9"/>
        <v>0</v>
      </c>
      <c r="AF27" s="85">
        <v>347000</v>
      </c>
      <c r="AG27" s="245">
        <f t="shared" si="10"/>
        <v>2.9382854572078741E-3</v>
      </c>
      <c r="AH27" s="244">
        <f>+'Vtas efectivo'!BK27</f>
        <v>69300</v>
      </c>
      <c r="AI27" s="246">
        <f t="shared" si="11"/>
        <v>5.8681032329828723E-4</v>
      </c>
      <c r="AJ27" s="289">
        <v>42899000</v>
      </c>
      <c r="AK27" s="109">
        <f t="shared" si="14"/>
        <v>341452.89999999106</v>
      </c>
      <c r="AL27" s="110">
        <f t="shared" si="17"/>
        <v>2968276.0999999344</v>
      </c>
      <c r="AM27" s="374"/>
      <c r="AN27" s="143">
        <f t="shared" si="18"/>
        <v>-42899000</v>
      </c>
      <c r="AO27" s="144">
        <f t="shared" si="19"/>
        <v>-168384000</v>
      </c>
    </row>
    <row r="28" spans="2:44" x14ac:dyDescent="0.15">
      <c r="B28" s="18">
        <v>26</v>
      </c>
      <c r="C28" s="25" t="str">
        <f>+Bioacem!C32</f>
        <v>J</v>
      </c>
      <c r="D28" s="333">
        <f>+'G. Corriente'!E32*'G. Corriente'!$G$4</f>
        <v>48273971.900000006</v>
      </c>
      <c r="E28" s="334">
        <f>+Bioacem!E32*Bioacem!$E$4</f>
        <v>50011687.5</v>
      </c>
      <c r="F28" s="334">
        <f>+'G. Extra'!E32*'G. Extra'!$G$4</f>
        <v>6794500.7000000002</v>
      </c>
      <c r="G28" s="335">
        <f t="shared" si="15"/>
        <v>105080160.10000001</v>
      </c>
      <c r="H28" s="89">
        <f>+Bioacem!E32+'G. Corriente'!E32+'G. Extra'!E32</f>
        <v>8206.27</v>
      </c>
      <c r="I28" s="158">
        <f>677+494+42+46+2+23+20+8+12</f>
        <v>1324</v>
      </c>
      <c r="J28" s="86">
        <f t="shared" si="20"/>
        <v>33530636.100000009</v>
      </c>
      <c r="K28" s="102">
        <f t="shared" si="16"/>
        <v>0.31909578428592444</v>
      </c>
      <c r="L28" s="85">
        <f>9850684-N28</f>
        <v>9850684</v>
      </c>
      <c r="M28" s="155">
        <f t="shared" si="12"/>
        <v>9.374447079853658E-2</v>
      </c>
      <c r="N28" s="85"/>
      <c r="O28" s="155">
        <f t="shared" si="13"/>
        <v>0</v>
      </c>
      <c r="P28" s="85"/>
      <c r="Q28" s="155">
        <f t="shared" si="2"/>
        <v>0</v>
      </c>
      <c r="R28" s="85">
        <v>7071587</v>
      </c>
      <c r="S28" s="155">
        <f t="shared" si="3"/>
        <v>6.7297071048143559E-2</v>
      </c>
      <c r="T28" s="496">
        <f>3700866+'Vtas efectivo'!BJ28</f>
        <v>5104371</v>
      </c>
      <c r="U28" s="155">
        <f t="shared" si="4"/>
        <v>4.8575972811065404E-2</v>
      </c>
      <c r="V28" s="85">
        <v>277324</v>
      </c>
      <c r="W28" s="85">
        <f t="shared" si="21"/>
        <v>2.6391661350352279E-3</v>
      </c>
      <c r="X28" s="85">
        <v>1175172</v>
      </c>
      <c r="Y28" s="155">
        <f t="shared" si="6"/>
        <v>1.1183576413298592E-2</v>
      </c>
      <c r="Z28" s="85">
        <f>44979538+1338169</f>
        <v>46317707</v>
      </c>
      <c r="AA28" s="155">
        <f t="shared" si="7"/>
        <v>0.44078451113817818</v>
      </c>
      <c r="AB28" s="346">
        <f>+'Vtas efectivo'!Z28</f>
        <v>1667679</v>
      </c>
      <c r="AC28" s="155">
        <f t="shared" si="8"/>
        <v>1.5870541103220111E-2</v>
      </c>
      <c r="AD28" s="85"/>
      <c r="AE28" s="155">
        <f t="shared" si="9"/>
        <v>0</v>
      </c>
      <c r="AF28" s="85">
        <v>85000</v>
      </c>
      <c r="AG28" s="155">
        <f t="shared" si="10"/>
        <v>8.0890626659789412E-4</v>
      </c>
      <c r="AH28" s="85">
        <f>+'Vtas efectivo'!BK28</f>
        <v>0</v>
      </c>
      <c r="AI28" s="237">
        <f t="shared" si="11"/>
        <v>0</v>
      </c>
      <c r="AJ28" s="289">
        <v>33322000</v>
      </c>
      <c r="AK28" s="109">
        <f t="shared" si="14"/>
        <v>208636.10000000894</v>
      </c>
      <c r="AL28" s="110">
        <f t="shared" si="17"/>
        <v>3176912.1999999434</v>
      </c>
      <c r="AM28" s="374"/>
      <c r="AN28" s="143">
        <f t="shared" si="18"/>
        <v>-33322000</v>
      </c>
      <c r="AO28" s="144">
        <f t="shared" si="19"/>
        <v>-201706000</v>
      </c>
    </row>
    <row r="29" spans="2:44" x14ac:dyDescent="0.15">
      <c r="B29" s="18">
        <v>27</v>
      </c>
      <c r="C29" s="25" t="str">
        <f>+Bioacem!C33</f>
        <v>V</v>
      </c>
      <c r="D29" s="333">
        <f>+'G. Corriente'!E33*'G. Corriente'!$G$4</f>
        <v>64268586.199999996</v>
      </c>
      <c r="E29" s="334">
        <f>+Bioacem!E33*Bioacem!$E$4</f>
        <v>54880362.499999993</v>
      </c>
      <c r="F29" s="334">
        <f>+'G. Extra'!E33*'G. Extra'!$G$4</f>
        <v>11205207</v>
      </c>
      <c r="G29" s="335">
        <f t="shared" si="15"/>
        <v>130354155.69999999</v>
      </c>
      <c r="H29" s="89">
        <f>+Bioacem!E33+'G. Corriente'!E33+'G. Extra'!E33</f>
        <v>9956.23</v>
      </c>
      <c r="I29" s="158">
        <f>748+594+22+37+55+29+1+7+14+1</f>
        <v>1508</v>
      </c>
      <c r="J29" s="86">
        <f t="shared" si="20"/>
        <v>44993834.699999988</v>
      </c>
      <c r="K29" s="102">
        <f t="shared" si="16"/>
        <v>0.34516609354250138</v>
      </c>
      <c r="L29" s="496">
        <f>13327811-N29</f>
        <v>13296911</v>
      </c>
      <c r="M29" s="155">
        <f t="shared" si="12"/>
        <v>0.10200603830845112</v>
      </c>
      <c r="N29" s="85">
        <v>30900</v>
      </c>
      <c r="O29" s="155">
        <f t="shared" si="13"/>
        <v>2.3704652785381053E-4</v>
      </c>
      <c r="P29" s="85"/>
      <c r="Q29" s="155">
        <f t="shared" si="2"/>
        <v>0</v>
      </c>
      <c r="R29" s="85">
        <f>4611284+93905</f>
        <v>4705189</v>
      </c>
      <c r="S29" s="155">
        <f t="shared" si="3"/>
        <v>3.6095427681098476E-2</v>
      </c>
      <c r="T29" s="85">
        <f>5649454+'Vtas efectivo'!BJ29</f>
        <v>6903659</v>
      </c>
      <c r="U29" s="155">
        <f t="shared" si="4"/>
        <v>5.2960789496333649E-2</v>
      </c>
      <c r="V29" s="85">
        <v>119196</v>
      </c>
      <c r="W29" s="85">
        <f t="shared" si="21"/>
        <v>9.1440122763957279E-4</v>
      </c>
      <c r="X29" s="85">
        <v>975565</v>
      </c>
      <c r="Y29" s="155">
        <f t="shared" si="6"/>
        <v>7.483957797595555E-3</v>
      </c>
      <c r="Z29" s="85">
        <f>55975866+449591</f>
        <v>56425457</v>
      </c>
      <c r="AA29" s="155">
        <f t="shared" si="7"/>
        <v>0.4328627399486889</v>
      </c>
      <c r="AB29" s="346">
        <f>+'Vtas efectivo'!Z29</f>
        <v>2792344</v>
      </c>
      <c r="AC29" s="155">
        <f t="shared" si="8"/>
        <v>2.1421211966777369E-2</v>
      </c>
      <c r="AD29" s="85"/>
      <c r="AE29" s="155">
        <f t="shared" si="9"/>
        <v>0</v>
      </c>
      <c r="AF29" s="85">
        <v>142000</v>
      </c>
      <c r="AG29" s="155">
        <f t="shared" si="10"/>
        <v>1.0893400309139511E-3</v>
      </c>
      <c r="AH29" s="85">
        <f>+'Vtas efectivo'!BK29</f>
        <v>0</v>
      </c>
      <c r="AI29" s="237">
        <f t="shared" si="11"/>
        <v>0</v>
      </c>
      <c r="AJ29" s="289">
        <v>44988000</v>
      </c>
      <c r="AK29" s="109">
        <f t="shared" si="14"/>
        <v>5834.6999999880791</v>
      </c>
      <c r="AL29" s="110">
        <f t="shared" si="17"/>
        <v>3182746.8999999315</v>
      </c>
      <c r="AM29" s="374">
        <v>167521000</v>
      </c>
      <c r="AN29" s="143">
        <f t="shared" si="18"/>
        <v>122533000</v>
      </c>
      <c r="AO29" s="144">
        <f>+AO28+AN29</f>
        <v>-79173000</v>
      </c>
    </row>
    <row r="30" spans="2:44" x14ac:dyDescent="0.15">
      <c r="B30" s="18">
        <v>28</v>
      </c>
      <c r="C30" s="25" t="str">
        <f>+Bioacem!C34</f>
        <v>S</v>
      </c>
      <c r="D30" s="333">
        <f>+'G. Corriente'!E34*'G. Corriente'!$G$4</f>
        <v>92690747.100000009</v>
      </c>
      <c r="E30" s="334">
        <f>+Bioacem!E34*Bioacem!$E$4</f>
        <v>31870739.999999996</v>
      </c>
      <c r="F30" s="334">
        <f>+'G. Extra'!E34*'G. Extra'!$G$4</f>
        <v>16131631.1</v>
      </c>
      <c r="G30" s="335">
        <f t="shared" si="15"/>
        <v>140693118.20000002</v>
      </c>
      <c r="H30" s="89">
        <f>+Bioacem!E34+'G. Corriente'!E34+'G. Extra'!E34</f>
        <v>9959.5399999999991</v>
      </c>
      <c r="I30" s="158">
        <f>970+696+11+23+25+9+9+5+1</f>
        <v>1749</v>
      </c>
      <c r="J30" s="86">
        <f>+G30-L30-P30-T30-V30-R30-X30-Z30-AB30-AD30-AF30-AH30</f>
        <v>51441504.200000018</v>
      </c>
      <c r="K30" s="102">
        <f t="shared" si="16"/>
        <v>0.36562914276215119</v>
      </c>
      <c r="L30" s="85">
        <f>4285702-N30</f>
        <v>4140014</v>
      </c>
      <c r="M30" s="155">
        <f t="shared" si="12"/>
        <v>2.9425845790942172E-2</v>
      </c>
      <c r="N30" s="85">
        <v>145688</v>
      </c>
      <c r="O30" s="155">
        <f t="shared" si="13"/>
        <v>1.0355019624549056E-3</v>
      </c>
      <c r="P30" s="85">
        <v>124634</v>
      </c>
      <c r="Q30" s="155">
        <f t="shared" si="2"/>
        <v>8.8585711649967524E-4</v>
      </c>
      <c r="R30" s="85">
        <v>4767081</v>
      </c>
      <c r="S30" s="155">
        <f t="shared" si="3"/>
        <v>3.3882829956355318E-2</v>
      </c>
      <c r="T30" s="85">
        <f>1624745+'Vtas efectivo'!BJ30</f>
        <v>2039770</v>
      </c>
      <c r="U30" s="155">
        <f t="shared" si="4"/>
        <v>1.449800833257813E-2</v>
      </c>
      <c r="V30" s="85"/>
      <c r="W30" s="407">
        <f t="shared" si="21"/>
        <v>0</v>
      </c>
      <c r="X30" s="85">
        <v>659056</v>
      </c>
      <c r="Y30" s="155">
        <f t="shared" si="6"/>
        <v>4.6843513629652419E-3</v>
      </c>
      <c r="Z30" s="85">
        <f>65763091+10845568</f>
        <v>76608659</v>
      </c>
      <c r="AA30" s="155">
        <f t="shared" si="7"/>
        <v>0.5445089282270239</v>
      </c>
      <c r="AB30" s="346">
        <f>+'Vtas efectivo'!Z30</f>
        <v>619150</v>
      </c>
      <c r="AC30" s="155">
        <f t="shared" si="8"/>
        <v>4.4007127563969219E-3</v>
      </c>
      <c r="AD30" s="85"/>
      <c r="AE30" s="155">
        <f t="shared" si="9"/>
        <v>0</v>
      </c>
      <c r="AF30" s="85">
        <v>197000</v>
      </c>
      <c r="AG30" s="155">
        <f t="shared" si="10"/>
        <v>1.400210632334965E-3</v>
      </c>
      <c r="AH30" s="85">
        <f>+'Vtas efectivo'!BK30</f>
        <v>96250</v>
      </c>
      <c r="AI30" s="237">
        <f t="shared" si="11"/>
        <v>6.8411306275248927E-4</v>
      </c>
      <c r="AJ30" s="289">
        <v>51295000</v>
      </c>
      <c r="AK30" s="109">
        <f>+J30-AJ30</f>
        <v>146504.20000001788</v>
      </c>
      <c r="AL30" s="110">
        <f t="shared" si="17"/>
        <v>3329251.0999999493</v>
      </c>
      <c r="AM30" s="374"/>
      <c r="AN30" s="143">
        <f t="shared" si="18"/>
        <v>-51295000</v>
      </c>
      <c r="AO30" s="144">
        <f t="shared" si="19"/>
        <v>-130468000</v>
      </c>
    </row>
    <row r="31" spans="2:44" x14ac:dyDescent="0.15">
      <c r="B31" s="18">
        <v>29</v>
      </c>
      <c r="C31" s="25" t="str">
        <f>+Bioacem!C35</f>
        <v>D</v>
      </c>
      <c r="D31" s="333">
        <f>+'G. Corriente'!E35*'G. Corriente'!$G$4</f>
        <v>0</v>
      </c>
      <c r="E31" s="334">
        <f>+Bioacem!E35*Bioacem!$E$4</f>
        <v>0</v>
      </c>
      <c r="F31" s="334">
        <f>+'G. Extra'!E35*'G. Extra'!$G$4</f>
        <v>0</v>
      </c>
      <c r="G31" s="335">
        <f t="shared" si="15"/>
        <v>0</v>
      </c>
      <c r="H31" s="89">
        <f>+Bioacem!E35+'G. Corriente'!E35+'G. Extra'!E35</f>
        <v>0</v>
      </c>
      <c r="I31" s="158"/>
      <c r="J31" s="86">
        <f t="shared" si="20"/>
        <v>0</v>
      </c>
      <c r="K31" s="102">
        <f t="shared" si="16"/>
        <v>0</v>
      </c>
      <c r="L31" s="85"/>
      <c r="M31" s="155">
        <f t="shared" si="12"/>
        <v>0</v>
      </c>
      <c r="N31" s="85"/>
      <c r="O31" s="155">
        <f t="shared" si="13"/>
        <v>0</v>
      </c>
      <c r="P31" s="85"/>
      <c r="Q31" s="155">
        <f t="shared" si="2"/>
        <v>0</v>
      </c>
      <c r="R31" s="85"/>
      <c r="S31" s="155">
        <f t="shared" si="3"/>
        <v>0</v>
      </c>
      <c r="T31" s="85"/>
      <c r="U31" s="155">
        <f t="shared" si="4"/>
        <v>0</v>
      </c>
      <c r="V31" s="85"/>
      <c r="W31" s="85">
        <f t="shared" si="21"/>
        <v>0</v>
      </c>
      <c r="X31" s="85"/>
      <c r="Y31" s="155">
        <f t="shared" si="6"/>
        <v>0</v>
      </c>
      <c r="Z31" s="85"/>
      <c r="AA31" s="155">
        <f t="shared" si="7"/>
        <v>0</v>
      </c>
      <c r="AB31" s="346">
        <f>+'Vtas efectivo'!Z31</f>
        <v>0</v>
      </c>
      <c r="AC31" s="155">
        <f t="shared" si="8"/>
        <v>0</v>
      </c>
      <c r="AD31" s="85"/>
      <c r="AE31" s="155">
        <f t="shared" si="9"/>
        <v>0</v>
      </c>
      <c r="AF31" s="496"/>
      <c r="AG31" s="155">
        <f t="shared" si="10"/>
        <v>0</v>
      </c>
      <c r="AH31" s="85">
        <f>+'Vtas efectivo'!BK31</f>
        <v>0</v>
      </c>
      <c r="AI31" s="237">
        <f t="shared" si="11"/>
        <v>0</v>
      </c>
      <c r="AJ31" s="538"/>
      <c r="AK31" s="109">
        <f t="shared" si="14"/>
        <v>0</v>
      </c>
      <c r="AL31" s="110">
        <f t="shared" si="17"/>
        <v>3329251.0999999493</v>
      </c>
      <c r="AM31" s="374"/>
      <c r="AN31" s="143">
        <f t="shared" si="18"/>
        <v>0</v>
      </c>
      <c r="AO31" s="144">
        <f t="shared" si="19"/>
        <v>-130468000</v>
      </c>
    </row>
    <row r="32" spans="2:44" x14ac:dyDescent="0.15">
      <c r="B32" s="18">
        <v>30</v>
      </c>
      <c r="C32" s="118" t="str">
        <f>+Bioacem!C36</f>
        <v>L</v>
      </c>
      <c r="D32" s="333">
        <f>+'G. Corriente'!E36*'G. Corriente'!$G$4</f>
        <v>0</v>
      </c>
      <c r="E32" s="334">
        <f>+Bioacem!E36*Bioacem!$E$4</f>
        <v>0</v>
      </c>
      <c r="F32" s="334">
        <f>+'G. Extra'!E36*'G. Extra'!$G$4</f>
        <v>0</v>
      </c>
      <c r="G32" s="335">
        <f t="shared" si="15"/>
        <v>0</v>
      </c>
      <c r="H32" s="89">
        <f>+Bioacem!E36+'G. Corriente'!E36+'G. Extra'!E36</f>
        <v>0</v>
      </c>
      <c r="I32" s="158"/>
      <c r="J32" s="86">
        <f t="shared" si="20"/>
        <v>0</v>
      </c>
      <c r="K32" s="102">
        <f t="shared" si="16"/>
        <v>0</v>
      </c>
      <c r="L32" s="85"/>
      <c r="M32" s="155">
        <f t="shared" si="12"/>
        <v>0</v>
      </c>
      <c r="N32" s="85"/>
      <c r="O32" s="155">
        <f t="shared" si="13"/>
        <v>0</v>
      </c>
      <c r="P32" s="85"/>
      <c r="Q32" s="155">
        <f t="shared" si="2"/>
        <v>0</v>
      </c>
      <c r="R32" s="85"/>
      <c r="S32" s="155">
        <f t="shared" si="3"/>
        <v>0</v>
      </c>
      <c r="T32" s="85"/>
      <c r="U32" s="155">
        <f t="shared" si="4"/>
        <v>0</v>
      </c>
      <c r="V32" s="85"/>
      <c r="W32" s="85">
        <f t="shared" si="21"/>
        <v>0</v>
      </c>
      <c r="X32" s="85"/>
      <c r="Y32" s="155">
        <f t="shared" si="6"/>
        <v>0</v>
      </c>
      <c r="Z32" s="85"/>
      <c r="AA32" s="155">
        <f t="shared" si="7"/>
        <v>0</v>
      </c>
      <c r="AB32" s="346">
        <f>+'Vtas efectivo'!Z32</f>
        <v>0</v>
      </c>
      <c r="AC32" s="155">
        <f t="shared" si="8"/>
        <v>0</v>
      </c>
      <c r="AD32" s="85"/>
      <c r="AE32" s="155">
        <f t="shared" si="9"/>
        <v>0</v>
      </c>
      <c r="AF32" s="85"/>
      <c r="AG32" s="155">
        <f t="shared" si="10"/>
        <v>0</v>
      </c>
      <c r="AH32" s="85">
        <f>+'Vtas efectivo'!BK32</f>
        <v>0</v>
      </c>
      <c r="AI32" s="237">
        <f t="shared" si="11"/>
        <v>0</v>
      </c>
      <c r="AJ32" s="289"/>
      <c r="AK32" s="109">
        <f t="shared" si="14"/>
        <v>0</v>
      </c>
      <c r="AL32" s="110">
        <f t="shared" si="17"/>
        <v>3329251.0999999493</v>
      </c>
      <c r="AM32" s="375"/>
      <c r="AN32" s="143">
        <f t="shared" si="18"/>
        <v>0</v>
      </c>
      <c r="AO32" s="144">
        <f t="shared" si="19"/>
        <v>-130468000</v>
      </c>
    </row>
    <row r="33" spans="2:41" ht="14" thickBot="1" x14ac:dyDescent="0.2">
      <c r="B33" s="19">
        <v>31</v>
      </c>
      <c r="C33" s="26" t="str">
        <f>+Bioacem!C37</f>
        <v>M</v>
      </c>
      <c r="D33" s="468">
        <f>+'G. Corriente'!E37*'G. Corriente'!$G$4</f>
        <v>0</v>
      </c>
      <c r="E33" s="469">
        <f>+Bioacem!E37*Bioacem!$E$4</f>
        <v>0</v>
      </c>
      <c r="F33" s="469">
        <f>+'G. Extra'!E37*'G. Extra'!$G$4</f>
        <v>0</v>
      </c>
      <c r="G33" s="470">
        <f t="shared" si="15"/>
        <v>0</v>
      </c>
      <c r="H33" s="133">
        <f>+Bioacem!E37+'G. Corriente'!E37+'G. Extra'!E37</f>
        <v>0</v>
      </c>
      <c r="I33" s="159"/>
      <c r="J33" s="101">
        <f t="shared" si="20"/>
        <v>0</v>
      </c>
      <c r="K33" s="103">
        <f t="shared" si="16"/>
        <v>0</v>
      </c>
      <c r="L33" s="100"/>
      <c r="M33" s="156">
        <f t="shared" si="12"/>
        <v>0</v>
      </c>
      <c r="N33" s="359"/>
      <c r="O33" s="360">
        <f t="shared" si="13"/>
        <v>0</v>
      </c>
      <c r="P33" s="100"/>
      <c r="Q33" s="156">
        <f t="shared" si="2"/>
        <v>0</v>
      </c>
      <c r="R33" s="100"/>
      <c r="S33" s="156">
        <f t="shared" si="3"/>
        <v>0</v>
      </c>
      <c r="T33" s="100"/>
      <c r="U33" s="156">
        <f t="shared" si="4"/>
        <v>0</v>
      </c>
      <c r="V33" s="100"/>
      <c r="W33" s="100">
        <f t="shared" si="21"/>
        <v>0</v>
      </c>
      <c r="X33" s="100"/>
      <c r="Y33" s="156">
        <f t="shared" si="6"/>
        <v>0</v>
      </c>
      <c r="Z33" s="100"/>
      <c r="AA33" s="156">
        <f t="shared" si="7"/>
        <v>0</v>
      </c>
      <c r="AB33" s="498">
        <f>+'Vtas efectivo'!Z33</f>
        <v>0</v>
      </c>
      <c r="AC33" s="156">
        <f t="shared" si="8"/>
        <v>0</v>
      </c>
      <c r="AD33" s="100"/>
      <c r="AE33" s="156">
        <f t="shared" si="9"/>
        <v>0</v>
      </c>
      <c r="AF33" s="100"/>
      <c r="AG33" s="156">
        <f t="shared" si="10"/>
        <v>0</v>
      </c>
      <c r="AH33" s="100">
        <f>+'Vtas efectivo'!BK33</f>
        <v>0</v>
      </c>
      <c r="AI33" s="238">
        <f t="shared" si="11"/>
        <v>0</v>
      </c>
      <c r="AJ33" s="290"/>
      <c r="AK33" s="149">
        <f t="shared" si="14"/>
        <v>0</v>
      </c>
      <c r="AL33" s="150">
        <f t="shared" si="17"/>
        <v>3329251.0999999493</v>
      </c>
      <c r="AM33" s="376"/>
      <c r="AN33" s="151">
        <f t="shared" si="18"/>
        <v>0</v>
      </c>
      <c r="AO33" s="152">
        <f t="shared" si="19"/>
        <v>-130468000</v>
      </c>
    </row>
    <row r="34" spans="2:41" ht="14" thickBot="1" x14ac:dyDescent="0.2">
      <c r="D34" s="384">
        <f>SUM(D3:D33)</f>
        <v>1604880255</v>
      </c>
      <c r="E34" s="384">
        <f t="shared" ref="E34:G34" si="22">SUM(E3:E33)</f>
        <v>1308708547.5</v>
      </c>
      <c r="F34" s="384">
        <f t="shared" si="22"/>
        <v>213588808.59999996</v>
      </c>
      <c r="G34" s="384">
        <f t="shared" si="22"/>
        <v>3127177611.0999994</v>
      </c>
      <c r="H34" s="134">
        <f>SUM(H3:H33)</f>
        <v>238711.71</v>
      </c>
      <c r="I34" s="241">
        <f>SUM(I3:I33)</f>
        <v>38043</v>
      </c>
      <c r="J34" s="235">
        <f>SUM(J3:J33)</f>
        <v>1118782251.0999999</v>
      </c>
      <c r="K34" s="236">
        <f>IF(J34=0,0,J34/$G$34)</f>
        <v>0.35776101975431546</v>
      </c>
      <c r="L34" s="235">
        <f>SUM(L3:L33)</f>
        <v>309299449</v>
      </c>
      <c r="M34" s="236">
        <f>IF(L34=0,0,L34/$G$34)</f>
        <v>9.8906901834463587E-2</v>
      </c>
      <c r="N34" s="361">
        <f>SUM(N3:N33)</f>
        <v>3908775</v>
      </c>
      <c r="O34" s="362">
        <f>IF(N34=0,0,N34/$G$34)</f>
        <v>1.2499369994610156E-3</v>
      </c>
      <c r="P34" s="235">
        <f>SUM(P3:P33)</f>
        <v>124634</v>
      </c>
      <c r="Q34" s="236">
        <f>IF(P34=0,0,P34/$G$34)</f>
        <v>3.985510754413447E-5</v>
      </c>
      <c r="R34" s="235">
        <f>SUM(R3:R33)</f>
        <v>167762707</v>
      </c>
      <c r="S34" s="236">
        <f>IF(R34=0,0,R34/$G$34)</f>
        <v>5.3646683323813088E-2</v>
      </c>
      <c r="T34" s="235">
        <f>SUM(T3:T33)</f>
        <v>135293098</v>
      </c>
      <c r="U34" s="236">
        <f>IF(T34=0,0,T34/$G$34)</f>
        <v>4.3263643714950367E-2</v>
      </c>
      <c r="V34" s="235">
        <f>SUM(V3:V33)</f>
        <v>2650612</v>
      </c>
      <c r="W34" s="236">
        <f>IF(V34=0,0,V34/$G$34)</f>
        <v>8.4760519856358102E-4</v>
      </c>
      <c r="X34" s="235">
        <f>SUM(X3:X33)</f>
        <v>15841445</v>
      </c>
      <c r="Y34" s="236">
        <f>IF(X34=0,0,X34/$G$34)</f>
        <v>5.0657324175545299E-3</v>
      </c>
      <c r="Z34" s="235">
        <f>SUM(Z3:Z33)</f>
        <v>1332439302</v>
      </c>
      <c r="AA34" s="236">
        <f>IF(Z34=0,0,Z34/$G$34)</f>
        <v>0.42608366639313083</v>
      </c>
      <c r="AB34" s="499">
        <f>SUM(AB3:AB33)</f>
        <v>37717263</v>
      </c>
      <c r="AC34" s="236">
        <f>IF(AB34=0,0,AB34/$G$34)</f>
        <v>1.2061119543105445E-2</v>
      </c>
      <c r="AD34" s="235">
        <f>SUM(AD3:AD33)</f>
        <v>0</v>
      </c>
      <c r="AE34" s="236">
        <f>IF(AD34=0,0,AD34/$G$34)</f>
        <v>0</v>
      </c>
      <c r="AF34" s="235">
        <f>SUM(AF3:AF33)</f>
        <v>6647000</v>
      </c>
      <c r="AG34" s="236">
        <f>IF(AF34=0,0,AF34/$G$34)</f>
        <v>2.1255588350358799E-3</v>
      </c>
      <c r="AH34" s="235">
        <f>SUM(AH3:AH33)</f>
        <v>619850</v>
      </c>
      <c r="AI34" s="236">
        <f>IF(AH34=0,0,AH34/$G$34)</f>
        <v>1.9821387752324207E-4</v>
      </c>
      <c r="AJ34" s="339">
        <f>SUM(AJ3:AJ33)</f>
        <v>1115453000</v>
      </c>
      <c r="AK34" s="79"/>
      <c r="AL34" s="79"/>
      <c r="AM34" s="338">
        <f>SUM(AM3:AM33)</f>
        <v>984985000</v>
      </c>
      <c r="AN34" s="79"/>
    </row>
    <row r="35" spans="2:41" x14ac:dyDescent="0.15">
      <c r="D35" s="312">
        <f>+D34/$G$34</f>
        <v>0.5132040627636355</v>
      </c>
      <c r="E35" s="312">
        <f>+E34/$G$34</f>
        <v>0.41849511292697433</v>
      </c>
      <c r="F35" s="312">
        <f>+F34/$G$34</f>
        <v>6.8300824309390315E-2</v>
      </c>
      <c r="G35" s="79"/>
      <c r="H35" s="241"/>
      <c r="J35" s="112">
        <f>+K34*$H$34</f>
        <v>85401.744796896426</v>
      </c>
      <c r="K35" s="79"/>
      <c r="L35" s="112">
        <f>+M34*$H$34</f>
        <v>23610.23566770694</v>
      </c>
      <c r="M35" s="79"/>
      <c r="N35" s="358">
        <f>+O34*$H$34</f>
        <v>298.37459853360809</v>
      </c>
      <c r="O35" s="79"/>
      <c r="P35" s="112">
        <f>+Q34*$H$34</f>
        <v>9.5138808740942391</v>
      </c>
      <c r="Q35" s="79"/>
      <c r="R35" s="112">
        <f>+S34*$H$34</f>
        <v>12806.091512055906</v>
      </c>
      <c r="S35" s="79"/>
      <c r="T35" s="112">
        <f>+U34*$H$34</f>
        <v>10327.538372026554</v>
      </c>
      <c r="U35" s="79"/>
      <c r="V35" s="79"/>
      <c r="W35" s="79"/>
      <c r="X35" s="112">
        <f>+Y34*$H$34</f>
        <v>1209.2496477968757</v>
      </c>
      <c r="Y35" s="79"/>
      <c r="Z35" s="112">
        <f>+AA34*$H$34</f>
        <v>101711.1606077738</v>
      </c>
      <c r="AA35" s="79"/>
      <c r="AB35" s="112">
        <f>+AC34*$H$34</f>
        <v>2879.1304706491192</v>
      </c>
      <c r="AC35" s="79"/>
      <c r="AD35" s="112">
        <f>+AE34*$H$34</f>
        <v>0</v>
      </c>
      <c r="AE35" s="79"/>
      <c r="AF35" s="112">
        <f>+AG34*$H$34</f>
        <v>507.39578421702277</v>
      </c>
      <c r="AG35" s="79"/>
      <c r="AH35" s="112">
        <f>+AI34*$H$34</f>
        <v>47.315973649303679</v>
      </c>
      <c r="AI35" s="79"/>
      <c r="AJ35" s="79"/>
      <c r="AK35" s="79"/>
      <c r="AL35" s="79"/>
      <c r="AM35" s="79"/>
      <c r="AN35" s="79"/>
    </row>
    <row r="36" spans="2:41" ht="14" thickBot="1" x14ac:dyDescent="0.2">
      <c r="D36" s="112"/>
      <c r="E36" s="79"/>
      <c r="F36" s="79"/>
      <c r="G36" s="79"/>
      <c r="H36" s="242"/>
      <c r="J36" s="79"/>
      <c r="K36" s="79"/>
      <c r="L36" s="79"/>
      <c r="M36" s="79"/>
      <c r="N36" s="79"/>
      <c r="O36" s="79"/>
      <c r="P36" s="112">
        <f>+L35+R35+N35</f>
        <v>36714.701778296454</v>
      </c>
      <c r="Q36" s="79"/>
      <c r="R36" s="79"/>
      <c r="S36" s="79"/>
      <c r="T36" s="112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</row>
    <row r="37" spans="2:41" ht="14" thickBot="1" x14ac:dyDescent="0.2">
      <c r="D37" s="572" t="s">
        <v>71</v>
      </c>
      <c r="E37" s="573"/>
      <c r="F37" s="574"/>
      <c r="G37" s="572" t="s">
        <v>75</v>
      </c>
      <c r="H37" s="573"/>
      <c r="I37" s="574"/>
      <c r="J37" s="572" t="s">
        <v>72</v>
      </c>
      <c r="K37" s="573"/>
      <c r="L37" s="574"/>
      <c r="AC37" s="145"/>
    </row>
    <row r="38" spans="2:41" ht="14" thickBot="1" x14ac:dyDescent="0.2">
      <c r="B38" s="569" t="s">
        <v>1</v>
      </c>
      <c r="C38" s="577"/>
      <c r="D38" s="132" t="s">
        <v>52</v>
      </c>
      <c r="E38" s="127" t="s">
        <v>53</v>
      </c>
      <c r="F38" s="128" t="s">
        <v>54</v>
      </c>
      <c r="G38" s="201" t="s">
        <v>52</v>
      </c>
      <c r="H38" s="202" t="s">
        <v>53</v>
      </c>
      <c r="I38" s="212" t="s">
        <v>54</v>
      </c>
      <c r="J38" s="166" t="s">
        <v>52</v>
      </c>
      <c r="K38" s="92" t="s">
        <v>95</v>
      </c>
      <c r="L38" s="93" t="s">
        <v>54</v>
      </c>
    </row>
    <row r="39" spans="2:41" x14ac:dyDescent="0.15">
      <c r="B39" s="23">
        <v>1</v>
      </c>
      <c r="C39" s="24" t="str">
        <f>+C3</f>
        <v>D</v>
      </c>
      <c r="D39" s="129">
        <f>IF(D3=0,0,'G. Corriente'!E7/$H3)</f>
        <v>0.71896719872565906</v>
      </c>
      <c r="E39" s="129">
        <f>IF(E3=0,0, Bioacem!E7/$H3)</f>
        <v>0.20406358700952507</v>
      </c>
      <c r="F39" s="209">
        <f>IF(F3=0,0,'G. Extra'!E7/$H3)</f>
        <v>7.696921426481583E-2</v>
      </c>
      <c r="G39" s="213"/>
      <c r="H39" s="214"/>
      <c r="I39" s="215"/>
      <c r="J39" s="207"/>
      <c r="K39" s="90"/>
      <c r="L39" s="206"/>
      <c r="AB39" s="146"/>
    </row>
    <row r="40" spans="2:41" x14ac:dyDescent="0.15">
      <c r="B40" s="18">
        <v>2</v>
      </c>
      <c r="C40" s="25" t="str">
        <f t="shared" ref="C40:C69" si="23">+C4</f>
        <v>L</v>
      </c>
      <c r="D40" s="130">
        <f>IF(D4=0,0,'G. Corriente'!E8/$H4)</f>
        <v>0.33510171620833928</v>
      </c>
      <c r="E40" s="102">
        <f>IF(E4=0,0, Bioacem!E8/$H4)</f>
        <v>0.63890715869224946</v>
      </c>
      <c r="F40" s="210">
        <f>IF(F4=0,0,'G. Extra'!E8/$H4)</f>
        <v>2.5991125099411195E-2</v>
      </c>
      <c r="G40" s="120"/>
      <c r="H40" s="78"/>
      <c r="I40" s="111"/>
      <c r="J40" s="189"/>
      <c r="K40" s="78"/>
      <c r="L40" s="111"/>
      <c r="R40" s="146"/>
      <c r="T40" s="297"/>
      <c r="V40" s="146"/>
      <c r="X40" s="146"/>
      <c r="Z40" s="297"/>
      <c r="AB40" s="146"/>
    </row>
    <row r="41" spans="2:41" x14ac:dyDescent="0.15">
      <c r="B41" s="18">
        <v>3</v>
      </c>
      <c r="C41" s="25" t="str">
        <f t="shared" si="23"/>
        <v>M</v>
      </c>
      <c r="D41" s="130">
        <f>IF(D5=0,0,'G. Corriente'!E9/$H5)</f>
        <v>0.33317874070665038</v>
      </c>
      <c r="E41" s="102">
        <f>IF(E5=0,0, Bioacem!E9/$H5)</f>
        <v>0.62740725628531713</v>
      </c>
      <c r="F41" s="210">
        <f>IF(F5=0,0,'G. Extra'!E9/$H5)</f>
        <v>3.9414003008032494E-2</v>
      </c>
      <c r="G41" s="120"/>
      <c r="H41" s="78"/>
      <c r="I41" s="111"/>
      <c r="J41" s="189"/>
      <c r="K41" s="78"/>
      <c r="L41" s="111"/>
    </row>
    <row r="42" spans="2:41" x14ac:dyDescent="0.15">
      <c r="B42" s="18">
        <v>4</v>
      </c>
      <c r="C42" s="25" t="str">
        <f t="shared" si="23"/>
        <v>M</v>
      </c>
      <c r="D42" s="130">
        <f>IF(D6=0,0,'G. Corriente'!E10/$H6)</f>
        <v>0.326991891496138</v>
      </c>
      <c r="E42" s="102">
        <f>IF(E6=0,0, Bioacem!E10/$H6)</f>
        <v>0.63864191712120666</v>
      </c>
      <c r="F42" s="210">
        <f>IF(F6=0,0,'G. Extra'!E10/$H6)</f>
        <v>3.4366191382655495E-2</v>
      </c>
      <c r="G42" s="120"/>
      <c r="H42" s="78"/>
      <c r="I42" s="111"/>
      <c r="J42" s="189"/>
      <c r="K42" s="78"/>
      <c r="L42" s="111"/>
      <c r="V42" s="269"/>
      <c r="AB42" s="146"/>
    </row>
    <row r="43" spans="2:41" x14ac:dyDescent="0.15">
      <c r="B43" s="18">
        <v>5</v>
      </c>
      <c r="C43" s="25" t="str">
        <f t="shared" si="23"/>
        <v>J</v>
      </c>
      <c r="D43" s="130">
        <f>IF(D7=0,0,'G. Corriente'!E11/$H7)</f>
        <v>0.19541036021658914</v>
      </c>
      <c r="E43" s="102">
        <f>IF(E7=0,0, Bioacem!E11/$H7)</f>
        <v>0.79252129214332512</v>
      </c>
      <c r="F43" s="210">
        <f>IF(F7=0,0,'G. Extra'!E11/$H7)</f>
        <v>1.2068347640085785E-2</v>
      </c>
      <c r="G43" s="120"/>
      <c r="H43" s="78"/>
      <c r="I43" s="111"/>
      <c r="J43" s="189"/>
      <c r="K43" s="78"/>
      <c r="L43" s="111"/>
      <c r="V43" s="269"/>
      <c r="AB43" s="146"/>
    </row>
    <row r="44" spans="2:41" x14ac:dyDescent="0.15">
      <c r="B44" s="18">
        <v>6</v>
      </c>
      <c r="C44" s="25" t="str">
        <f t="shared" si="23"/>
        <v>V</v>
      </c>
      <c r="D44" s="130">
        <f>IF(D8=0,0,'G. Corriente'!E12/$H8)</f>
        <v>0.44618896233209965</v>
      </c>
      <c r="E44" s="102">
        <f>IF(E8=0,0, Bioacem!E12/$H8)</f>
        <v>0.5154043236259167</v>
      </c>
      <c r="F44" s="210">
        <f>IF(F8=0,0,'G. Extra'!E12/$H8)</f>
        <v>3.8406714041983633E-2</v>
      </c>
      <c r="G44" s="120"/>
      <c r="H44" s="78"/>
      <c r="I44" s="111"/>
      <c r="J44" s="189"/>
      <c r="K44" s="78"/>
      <c r="L44" s="111"/>
      <c r="AA44" s="146"/>
      <c r="AB44" s="146"/>
    </row>
    <row r="45" spans="2:41" x14ac:dyDescent="0.15">
      <c r="B45" s="18">
        <v>7</v>
      </c>
      <c r="C45" s="25" t="str">
        <f t="shared" si="23"/>
        <v>S</v>
      </c>
      <c r="D45" s="130">
        <f>IF(D9=0,0,'G. Corriente'!E13/$H9)</f>
        <v>0.49837865190585856</v>
      </c>
      <c r="E45" s="102">
        <f>IF(E9=0,0, Bioacem!E13/$H9)</f>
        <v>0.43362903142523729</v>
      </c>
      <c r="F45" s="210">
        <f>IF(F9=0,0,'G. Extra'!E13/$H9)</f>
        <v>6.7992316668904193E-2</v>
      </c>
      <c r="G45" s="120"/>
      <c r="H45" s="78"/>
      <c r="I45" s="111"/>
      <c r="J45" s="189"/>
      <c r="K45" s="78"/>
      <c r="L45" s="111"/>
    </row>
    <row r="46" spans="2:41" x14ac:dyDescent="0.15">
      <c r="B46" s="18">
        <v>8</v>
      </c>
      <c r="C46" s="25" t="str">
        <f t="shared" si="23"/>
        <v>D</v>
      </c>
      <c r="D46" s="130">
        <f>IF(D10=0,0,'G. Corriente'!E14/$H10)</f>
        <v>0.66926639302718594</v>
      </c>
      <c r="E46" s="102">
        <f>IF(E10=0,0, Bioacem!E14/$H10)</f>
        <v>0.26824788529533244</v>
      </c>
      <c r="F46" s="210">
        <f>IF(F10=0,0,'G. Extra'!E14/$H10)</f>
        <v>6.2485721677481627E-2</v>
      </c>
      <c r="G46" s="120"/>
      <c r="H46" s="78"/>
      <c r="I46" s="111"/>
      <c r="J46" s="189"/>
      <c r="K46" s="78"/>
      <c r="L46" s="111"/>
    </row>
    <row r="47" spans="2:41" x14ac:dyDescent="0.15">
      <c r="B47" s="18">
        <v>9</v>
      </c>
      <c r="C47" s="25" t="str">
        <f t="shared" si="23"/>
        <v>L</v>
      </c>
      <c r="D47" s="130">
        <f>IF(D11=0,0,'G. Corriente'!E15/$H11)</f>
        <v>0.382250326564541</v>
      </c>
      <c r="E47" s="102">
        <f>IF(E11=0,0, Bioacem!E15/$H11)</f>
        <v>0.58329889561809767</v>
      </c>
      <c r="F47" s="210">
        <f>IF(F11=0,0,'G. Extra'!E15/$H11)</f>
        <v>3.4450777817361361E-2</v>
      </c>
      <c r="G47" s="120"/>
      <c r="H47" s="78"/>
      <c r="I47" s="111"/>
      <c r="J47" s="189"/>
      <c r="K47" s="78"/>
      <c r="L47" s="111"/>
      <c r="AB47" s="146"/>
    </row>
    <row r="48" spans="2:41" x14ac:dyDescent="0.15">
      <c r="B48" s="18">
        <v>10</v>
      </c>
      <c r="C48" s="25" t="str">
        <f t="shared" si="23"/>
        <v>M</v>
      </c>
      <c r="D48" s="130">
        <f>IF(D12=0,0,'G. Corriente'!E16/$H12)</f>
        <v>0.3674036852072714</v>
      </c>
      <c r="E48" s="102">
        <f>IF(E12=0,0, Bioacem!E16/$H12)</f>
        <v>0.59940928531084137</v>
      </c>
      <c r="F48" s="210">
        <f>IF(F12=0,0,'G. Extra'!E16/$H12)</f>
        <v>3.3187029481887308E-2</v>
      </c>
      <c r="G48" s="120"/>
      <c r="H48" s="78"/>
      <c r="I48" s="111"/>
      <c r="J48" s="189"/>
      <c r="K48" s="78"/>
      <c r="L48" s="111"/>
      <c r="AB48" s="146"/>
    </row>
    <row r="49" spans="2:12" x14ac:dyDescent="0.15">
      <c r="B49" s="18">
        <v>11</v>
      </c>
      <c r="C49" s="25" t="str">
        <f t="shared" si="23"/>
        <v>M</v>
      </c>
      <c r="D49" s="130">
        <f>IF(D13=0,0,'G. Corriente'!E17/$H13)</f>
        <v>0.3879814127480492</v>
      </c>
      <c r="E49" s="102">
        <f>IF(E13=0,0, Bioacem!E17/$H13)</f>
        <v>0.57346699009264401</v>
      </c>
      <c r="F49" s="210">
        <f>IF(F13=0,0,'G. Extra'!E17/$H13)</f>
        <v>3.8551597159306776E-2</v>
      </c>
      <c r="G49" s="120"/>
      <c r="H49" s="78"/>
      <c r="I49" s="111"/>
      <c r="J49" s="189"/>
      <c r="K49" s="78"/>
      <c r="L49" s="111"/>
    </row>
    <row r="50" spans="2:12" x14ac:dyDescent="0.15">
      <c r="B50" s="18">
        <v>12</v>
      </c>
      <c r="C50" s="25" t="str">
        <f t="shared" si="23"/>
        <v>J</v>
      </c>
      <c r="D50" s="130">
        <f>IF(D14=0,0,'G. Corriente'!E18/$H14)</f>
        <v>0.37606474036416448</v>
      </c>
      <c r="E50" s="102">
        <f>IF(E14=0,0, Bioacem!E18/$H14)</f>
        <v>0.58900128535445229</v>
      </c>
      <c r="F50" s="210">
        <f>IF(F14=0,0,'G. Extra'!E18/$H14)</f>
        <v>3.4933974281383104E-2</v>
      </c>
      <c r="G50" s="120"/>
      <c r="H50" s="78"/>
      <c r="I50" s="111"/>
      <c r="J50" s="189"/>
      <c r="K50" s="78"/>
      <c r="L50" s="111"/>
    </row>
    <row r="51" spans="2:12" x14ac:dyDescent="0.15">
      <c r="B51" s="18">
        <v>13</v>
      </c>
      <c r="C51" s="25" t="str">
        <f t="shared" si="23"/>
        <v>V</v>
      </c>
      <c r="D51" s="130">
        <f>IF(D15=0,0,'G. Corriente'!E19/$H15)</f>
        <v>0.41634764438337191</v>
      </c>
      <c r="E51" s="102">
        <f>IF(E15=0,0, Bioacem!E19/$H15)</f>
        <v>0.53276058849248487</v>
      </c>
      <c r="F51" s="210">
        <f>IF(F15=0,0,'G. Extra'!E19/$H15)</f>
        <v>5.0891767124143297E-2</v>
      </c>
      <c r="G51" s="120"/>
      <c r="H51" s="78"/>
      <c r="I51" s="111"/>
      <c r="J51" s="189"/>
      <c r="K51" s="78"/>
      <c r="L51" s="111"/>
    </row>
    <row r="52" spans="2:12" x14ac:dyDescent="0.15">
      <c r="B52" s="18">
        <v>14</v>
      </c>
      <c r="C52" s="25" t="str">
        <f t="shared" si="23"/>
        <v>S</v>
      </c>
      <c r="D52" s="130">
        <f>IF(D16=0,0,'G. Corriente'!E20/$H16)</f>
        <v>0.59297692128690538</v>
      </c>
      <c r="E52" s="102">
        <f>IF(E16=0,0, Bioacem!E20/$H16)</f>
        <v>0.32435095624167271</v>
      </c>
      <c r="F52" s="210">
        <f>IF(F16=0,0,'G. Extra'!E20/$H16)</f>
        <v>8.2672122471421888E-2</v>
      </c>
      <c r="G52" s="120"/>
      <c r="H52" s="78"/>
      <c r="I52" s="111"/>
      <c r="J52" s="189"/>
      <c r="K52" s="78"/>
      <c r="L52" s="111"/>
    </row>
    <row r="53" spans="2:12" x14ac:dyDescent="0.15">
      <c r="B53" s="18">
        <v>15</v>
      </c>
      <c r="C53" s="25" t="str">
        <f t="shared" si="23"/>
        <v>D</v>
      </c>
      <c r="D53" s="130">
        <f>IF(D17=0,0,'G. Corriente'!E21/$H17)</f>
        <v>0.71504929911915727</v>
      </c>
      <c r="E53" s="102">
        <f>IF(E17=0,0, Bioacem!E21/$H17)</f>
        <v>0.21702365342166655</v>
      </c>
      <c r="F53" s="210">
        <f>IF(F17=0,0,'G. Extra'!E21/$H17)</f>
        <v>6.7927047459176271E-2</v>
      </c>
      <c r="G53" s="120"/>
      <c r="H53" s="78"/>
      <c r="I53" s="111"/>
      <c r="J53" s="189"/>
      <c r="K53" s="78"/>
      <c r="L53" s="111"/>
    </row>
    <row r="54" spans="2:12" x14ac:dyDescent="0.15">
      <c r="B54" s="18">
        <v>16</v>
      </c>
      <c r="C54" s="25" t="str">
        <f t="shared" si="23"/>
        <v>L</v>
      </c>
      <c r="D54" s="130">
        <f>IF(D18=0,0,'G. Corriente'!E22/$H18)</f>
        <v>0.33129196895652341</v>
      </c>
      <c r="E54" s="102">
        <f>IF(E18=0,0, Bioacem!E22/$H18)</f>
        <v>0.63683128665474864</v>
      </c>
      <c r="F54" s="210">
        <f>IF(F18=0,0,'G. Extra'!E22/$H18)</f>
        <v>3.187674438872793E-2</v>
      </c>
      <c r="G54" s="120"/>
      <c r="H54" s="78"/>
      <c r="I54" s="111"/>
      <c r="J54" s="189"/>
      <c r="K54" s="78"/>
      <c r="L54" s="111"/>
    </row>
    <row r="55" spans="2:12" x14ac:dyDescent="0.15">
      <c r="B55" s="18">
        <v>17</v>
      </c>
      <c r="C55" s="25" t="str">
        <f t="shared" si="23"/>
        <v>M</v>
      </c>
      <c r="D55" s="130">
        <f>IF(D19=0,0,'G. Corriente'!E23/$H19)</f>
        <v>0.40750336375762308</v>
      </c>
      <c r="E55" s="102">
        <f>IF(E19=0,0, Bioacem!E23/$H19)</f>
        <v>0.55537589627394679</v>
      </c>
      <c r="F55" s="210">
        <f>IF(F19=0,0,'G. Extra'!E23/$H19)</f>
        <v>3.712073996843019E-2</v>
      </c>
      <c r="G55" s="120"/>
      <c r="H55" s="78"/>
      <c r="I55" s="111"/>
      <c r="J55" s="189"/>
      <c r="K55" s="78"/>
      <c r="L55" s="111"/>
    </row>
    <row r="56" spans="2:12" x14ac:dyDescent="0.15">
      <c r="B56" s="18">
        <v>18</v>
      </c>
      <c r="C56" s="25" t="str">
        <f t="shared" si="23"/>
        <v>M</v>
      </c>
      <c r="D56" s="130">
        <f>IF(D20=0,0,'G. Corriente'!E24/$H20)</f>
        <v>0.38159257307922889</v>
      </c>
      <c r="E56" s="102">
        <f>IF(E20=0,0, Bioacem!E24/$H20)</f>
        <v>0.58632569082353792</v>
      </c>
      <c r="F56" s="210">
        <f>IF(F20=0,0,'G. Extra'!E24/$H20)</f>
        <v>3.2081736097233068E-2</v>
      </c>
      <c r="G56" s="120"/>
      <c r="H56" s="78"/>
      <c r="I56" s="111"/>
      <c r="J56" s="189"/>
      <c r="K56" s="78"/>
      <c r="L56" s="111"/>
    </row>
    <row r="57" spans="2:12" x14ac:dyDescent="0.15">
      <c r="B57" s="18">
        <v>19</v>
      </c>
      <c r="C57" s="25" t="str">
        <f t="shared" si="23"/>
        <v>J</v>
      </c>
      <c r="D57" s="130">
        <f>IF(D21=0,0,'G. Corriente'!E25/$H21)</f>
        <v>0.40288701552212636</v>
      </c>
      <c r="E57" s="102">
        <f>IF(E21=0,0, Bioacem!E25/$H21)</f>
        <v>0.55757231199578661</v>
      </c>
      <c r="F57" s="210">
        <f>IF(F21=0,0,'G. Extra'!E25/$H21)</f>
        <v>3.9540672482086946E-2</v>
      </c>
      <c r="G57" s="120"/>
      <c r="H57" s="78"/>
      <c r="I57" s="111"/>
      <c r="J57" s="189"/>
      <c r="K57" s="78"/>
      <c r="L57" s="111"/>
    </row>
    <row r="58" spans="2:12" x14ac:dyDescent="0.15">
      <c r="B58" s="18">
        <v>20</v>
      </c>
      <c r="C58" s="25" t="str">
        <f t="shared" si="23"/>
        <v>V</v>
      </c>
      <c r="D58" s="130">
        <f>IF(D22=0,0,'G. Corriente'!E26/$H22)</f>
        <v>0.42613006855032504</v>
      </c>
      <c r="E58" s="102">
        <f>IF(E22=0,0, Bioacem!E26/$H22)</f>
        <v>0.52812991677838772</v>
      </c>
      <c r="F58" s="210">
        <f>IF(F22=0,0,'G. Extra'!E26/$H22)</f>
        <v>4.5740014671287278E-2</v>
      </c>
      <c r="G58" s="120"/>
      <c r="H58" s="78"/>
      <c r="I58" s="111"/>
      <c r="J58" s="189"/>
      <c r="K58" s="78"/>
      <c r="L58" s="111"/>
    </row>
    <row r="59" spans="2:12" x14ac:dyDescent="0.15">
      <c r="B59" s="18">
        <v>21</v>
      </c>
      <c r="C59" s="25" t="str">
        <f t="shared" si="23"/>
        <v>S</v>
      </c>
      <c r="D59" s="130">
        <f>IF(D23=0,0,'G. Corriente'!E27/$H23)</f>
        <v>0.59042995155860867</v>
      </c>
      <c r="E59" s="102">
        <f>IF(E23=0,0, Bioacem!E27/$H23)</f>
        <v>0.32692739264895043</v>
      </c>
      <c r="F59" s="210">
        <f>IF(F23=0,0,'G. Extra'!E27/$H23)</f>
        <v>8.2642655792440955E-2</v>
      </c>
      <c r="G59" s="120"/>
      <c r="H59" s="78"/>
      <c r="I59" s="111"/>
      <c r="J59" s="189"/>
      <c r="K59" s="78"/>
      <c r="L59" s="111"/>
    </row>
    <row r="60" spans="2:12" x14ac:dyDescent="0.15">
      <c r="B60" s="18">
        <v>22</v>
      </c>
      <c r="C60" s="25" t="str">
        <f t="shared" si="23"/>
        <v>D</v>
      </c>
      <c r="D60" s="130">
        <f>IF(D24=0,0,'G. Corriente'!E28/$H24)</f>
        <v>0.67490177021423525</v>
      </c>
      <c r="E60" s="102">
        <f>IF(E24=0,0, Bioacem!E28/$H24)</f>
        <v>0.22738796689120713</v>
      </c>
      <c r="F60" s="210">
        <f>IF(F24=0,0,'G. Extra'!E28/$H24)</f>
        <v>9.7710262894557642E-2</v>
      </c>
      <c r="G60" s="120"/>
      <c r="H60" s="78"/>
      <c r="I60" s="111"/>
      <c r="J60" s="189"/>
      <c r="K60" s="78"/>
      <c r="L60" s="111"/>
    </row>
    <row r="61" spans="2:12" x14ac:dyDescent="0.15">
      <c r="B61" s="18">
        <v>23</v>
      </c>
      <c r="C61" s="25" t="str">
        <f t="shared" si="23"/>
        <v>L</v>
      </c>
      <c r="D61" s="130">
        <f>IF(D25=0,0,'G. Corriente'!E29/$H25)</f>
        <v>0.37251199686170888</v>
      </c>
      <c r="E61" s="102">
        <f>IF(E25=0,0, Bioacem!E29/$H25)</f>
        <v>0.58752664560193979</v>
      </c>
      <c r="F61" s="210">
        <f>IF(F25=0,0,'G. Extra'!E29/$H25)</f>
        <v>3.9961357536351307E-2</v>
      </c>
      <c r="G61" s="120"/>
      <c r="H61" s="78"/>
      <c r="I61" s="111"/>
      <c r="J61" s="189"/>
      <c r="K61" s="78"/>
      <c r="L61" s="111"/>
    </row>
    <row r="62" spans="2:12" x14ac:dyDescent="0.15">
      <c r="B62" s="18">
        <v>24</v>
      </c>
      <c r="C62" s="25" t="str">
        <f t="shared" si="23"/>
        <v>M</v>
      </c>
      <c r="D62" s="130">
        <f>IF(D26=0,0,'G. Corriente'!E30/$H26)</f>
        <v>0.37632978723404253</v>
      </c>
      <c r="E62" s="102">
        <f>IF(E26=0,0, Bioacem!E30/$H26)</f>
        <v>0.58980260047281319</v>
      </c>
      <c r="F62" s="210">
        <f>IF(F26=0,0,'G. Extra'!E30/$H26)</f>
        <v>3.3867612293144209E-2</v>
      </c>
      <c r="G62" s="120"/>
      <c r="H62" s="78"/>
      <c r="I62" s="111"/>
      <c r="J62" s="189"/>
      <c r="K62" s="78"/>
      <c r="L62" s="111"/>
    </row>
    <row r="63" spans="2:12" x14ac:dyDescent="0.15">
      <c r="B63" s="18">
        <v>25</v>
      </c>
      <c r="C63" s="25" t="str">
        <f t="shared" si="23"/>
        <v>M</v>
      </c>
      <c r="D63" s="130">
        <f>IF(D27=0,0,'G. Corriente'!E31/$H27)</f>
        <v>0.37194694869168343</v>
      </c>
      <c r="E63" s="102">
        <f>IF(E27=0,0, Bioacem!E31/$H27)</f>
        <v>0.59176020722832112</v>
      </c>
      <c r="F63" s="210">
        <f>IF(F27=0,0,'G. Extra'!E31/$H27)</f>
        <v>3.6292844079995279E-2</v>
      </c>
      <c r="G63" s="120"/>
      <c r="H63" s="78"/>
      <c r="I63" s="111"/>
      <c r="J63" s="189"/>
      <c r="K63" s="78"/>
      <c r="L63" s="111"/>
    </row>
    <row r="64" spans="2:12" x14ac:dyDescent="0.15">
      <c r="B64" s="18">
        <v>26</v>
      </c>
      <c r="C64" s="25" t="str">
        <f t="shared" si="23"/>
        <v>J</v>
      </c>
      <c r="D64" s="130">
        <f>IF(D28=0,0,'G. Corriente'!E32/$H28)</f>
        <v>0.38726607825479786</v>
      </c>
      <c r="E64" s="102">
        <f>IF(E28=0,0, Bioacem!E32/$H28)</f>
        <v>0.56691407911267844</v>
      </c>
      <c r="F64" s="210">
        <f>IF(F28=0,0,'G. Extra'!E32/$H28)</f>
        <v>4.5819842632523665E-2</v>
      </c>
      <c r="G64" s="121"/>
      <c r="H64" s="105"/>
      <c r="I64" s="122"/>
      <c r="J64" s="208"/>
      <c r="K64" s="105"/>
      <c r="L64" s="122"/>
    </row>
    <row r="65" spans="2:12" x14ac:dyDescent="0.15">
      <c r="B65" s="18">
        <v>27</v>
      </c>
      <c r="C65" s="25" t="str">
        <f t="shared" si="23"/>
        <v>V</v>
      </c>
      <c r="D65" s="130">
        <f>IF(D29=0,0,'G. Corriente'!E33/$H29)</f>
        <v>0.42495804134697568</v>
      </c>
      <c r="E65" s="102">
        <f>IF(E29=0,0, Bioacem!E33/$H29)</f>
        <v>0.51275934766472853</v>
      </c>
      <c r="F65" s="210">
        <f>IF(F29=0,0,'G. Extra'!E33/$H29)</f>
        <v>6.2282610988295774E-2</v>
      </c>
      <c r="G65" s="120"/>
      <c r="H65" s="78"/>
      <c r="I65" s="111"/>
      <c r="J65" s="189"/>
      <c r="K65" s="78"/>
      <c r="L65" s="111"/>
    </row>
    <row r="66" spans="2:12" x14ac:dyDescent="0.15">
      <c r="B66" s="18">
        <v>28</v>
      </c>
      <c r="C66" s="25" t="str">
        <f t="shared" si="23"/>
        <v>S</v>
      </c>
      <c r="D66" s="130">
        <f>IF(D30=0,0,'G. Corriente'!E34/$H30)</f>
        <v>0.61268793538657418</v>
      </c>
      <c r="E66" s="102">
        <f>IF(E30=0,0, Bioacem!E34/$H30)</f>
        <v>0.29767639870917734</v>
      </c>
      <c r="F66" s="210">
        <f>IF(F30=0,0,'G. Extra'!E34/$H30)</f>
        <v>8.9635665904248596E-2</v>
      </c>
      <c r="G66" s="120"/>
      <c r="H66" s="78"/>
      <c r="I66" s="111"/>
      <c r="J66" s="189"/>
      <c r="K66" s="78"/>
      <c r="L66" s="111"/>
    </row>
    <row r="67" spans="2:12" x14ac:dyDescent="0.15">
      <c r="B67" s="18">
        <v>29</v>
      </c>
      <c r="C67" s="25" t="str">
        <f t="shared" si="23"/>
        <v>D</v>
      </c>
      <c r="D67" s="130">
        <f>IF(D31=0,0,'G. Corriente'!E35/$H31)</f>
        <v>0</v>
      </c>
      <c r="E67" s="102">
        <f>IF(E31=0,0, Bioacem!E35/$H31)</f>
        <v>0</v>
      </c>
      <c r="F67" s="210">
        <f>IF(F31=0,0,'G. Extra'!E35/$H31)</f>
        <v>0</v>
      </c>
      <c r="G67" s="120"/>
      <c r="H67" s="78"/>
      <c r="I67" s="111"/>
      <c r="J67" s="189"/>
      <c r="K67" s="78"/>
      <c r="L67" s="111"/>
    </row>
    <row r="68" spans="2:12" x14ac:dyDescent="0.15">
      <c r="B68" s="18">
        <v>30</v>
      </c>
      <c r="C68" s="25" t="str">
        <f t="shared" si="23"/>
        <v>L</v>
      </c>
      <c r="D68" s="130">
        <f>IF(D32=0,0,'G. Corriente'!E36/$H32)</f>
        <v>0</v>
      </c>
      <c r="E68" s="102">
        <f>IF(E32=0,0, Bioacem!E36/$H32)</f>
        <v>0</v>
      </c>
      <c r="F68" s="210">
        <f>IF(F32=0,0,'G. Extra'!E36/$H32)</f>
        <v>0</v>
      </c>
      <c r="G68" s="120"/>
      <c r="H68" s="78"/>
      <c r="I68" s="111"/>
      <c r="J68" s="189"/>
      <c r="K68" s="78"/>
      <c r="L68" s="111"/>
    </row>
    <row r="69" spans="2:12" ht="14" thickBot="1" x14ac:dyDescent="0.2">
      <c r="B69" s="19">
        <v>31</v>
      </c>
      <c r="C69" s="26" t="str">
        <f t="shared" si="23"/>
        <v>M</v>
      </c>
      <c r="D69" s="131">
        <f>IF(D33=0,0,'G. Corriente'!E37/$H33)</f>
        <v>0</v>
      </c>
      <c r="E69" s="103">
        <f>IF(E33=0,0, Bioacem!E37/$H33)</f>
        <v>0</v>
      </c>
      <c r="F69" s="211">
        <f>IF(F33=0,0,'G. Extra'!E37/$H33)</f>
        <v>0</v>
      </c>
      <c r="G69" s="123"/>
      <c r="H69" s="124"/>
      <c r="I69" s="126"/>
      <c r="J69" s="190"/>
      <c r="K69" s="124"/>
      <c r="L69" s="126"/>
    </row>
    <row r="70" spans="2:12" ht="14" thickBot="1" x14ac:dyDescent="0.2">
      <c r="B70" s="575" t="s">
        <v>17</v>
      </c>
      <c r="C70" s="576"/>
      <c r="D70" s="309">
        <f>+AVERAGE(D39:D69)</f>
        <v>0.40393533689375599</v>
      </c>
      <c r="E70" s="310">
        <f>+AVERAGE(E39:E69)</f>
        <v>0.45493947893503844</v>
      </c>
      <c r="F70" s="311">
        <f>+AVERAGE(F39:F69)</f>
        <v>4.4350990622818484E-2</v>
      </c>
    </row>
  </sheetData>
  <mergeCells count="6">
    <mergeCell ref="J37:L37"/>
    <mergeCell ref="B70:C70"/>
    <mergeCell ref="B2:C2"/>
    <mergeCell ref="B38:C38"/>
    <mergeCell ref="D37:F37"/>
    <mergeCell ref="G37:I37"/>
  </mergeCell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5C53C-1BAC-4902-828B-5D4138D48CE4}">
  <dimension ref="B1:BM36"/>
  <sheetViews>
    <sheetView topLeftCell="J1" zoomScaleNormal="100" workbookViewId="0">
      <selection activeCell="Z30" sqref="Z30"/>
    </sheetView>
  </sheetViews>
  <sheetFormatPr baseColWidth="10" defaultColWidth="10.83203125" defaultRowHeight="13" x14ac:dyDescent="0.15"/>
  <cols>
    <col min="1" max="1" width="4" customWidth="1"/>
    <col min="2" max="2" width="3" bestFit="1" customWidth="1"/>
    <col min="3" max="3" width="2.5" bestFit="1" customWidth="1"/>
    <col min="4" max="4" width="17.6640625" bestFit="1" customWidth="1"/>
    <col min="5" max="5" width="17.6640625" customWidth="1"/>
    <col min="6" max="6" width="10.33203125" bestFit="1" customWidth="1"/>
    <col min="7" max="7" width="12" bestFit="1" customWidth="1"/>
    <col min="8" max="8" width="11.83203125" bestFit="1" customWidth="1"/>
    <col min="9" max="11" width="17" customWidth="1"/>
    <col min="12" max="12" width="14.5" customWidth="1"/>
    <col min="13" max="15" width="13.83203125" customWidth="1"/>
    <col min="16" max="16" width="13.5" customWidth="1"/>
    <col min="17" max="18" width="17" customWidth="1"/>
    <col min="19" max="19" width="10.5" bestFit="1" customWidth="1"/>
    <col min="20" max="20" width="10.5" customWidth="1"/>
    <col min="21" max="21" width="10.33203125" bestFit="1" customWidth="1"/>
    <col min="22" max="22" width="11.5" bestFit="1" customWidth="1"/>
    <col min="23" max="23" width="13.33203125" customWidth="1"/>
    <col min="24" max="24" width="12.1640625" bestFit="1" customWidth="1"/>
    <col min="25" max="25" width="12.1640625" customWidth="1"/>
    <col min="26" max="26" width="16.33203125" bestFit="1" customWidth="1"/>
    <col min="27" max="30" width="12.1640625" customWidth="1"/>
    <col min="31" max="45" width="14" customWidth="1"/>
    <col min="46" max="46" width="10.33203125" bestFit="1" customWidth="1"/>
    <col min="47" max="51" width="10.33203125" customWidth="1"/>
    <col min="52" max="52" width="17.33203125" bestFit="1" customWidth="1"/>
    <col min="53" max="61" width="12" customWidth="1"/>
    <col min="62" max="62" width="13.83203125" bestFit="1" customWidth="1"/>
    <col min="63" max="63" width="12" bestFit="1" customWidth="1"/>
    <col min="65" max="65" width="12" bestFit="1" customWidth="1"/>
  </cols>
  <sheetData>
    <row r="1" spans="2:65" ht="14" thickBot="1" x14ac:dyDescent="0.2"/>
    <row r="2" spans="2:65" ht="43" thickBot="1" x14ac:dyDescent="0.2">
      <c r="B2" s="569" t="s">
        <v>1</v>
      </c>
      <c r="C2" s="578"/>
      <c r="D2" s="461" t="s">
        <v>113</v>
      </c>
      <c r="E2" s="462" t="s">
        <v>159</v>
      </c>
      <c r="F2" s="462" t="s">
        <v>120</v>
      </c>
      <c r="G2" s="462" t="s">
        <v>126</v>
      </c>
      <c r="H2" s="462" t="s">
        <v>119</v>
      </c>
      <c r="I2" s="462" t="s">
        <v>121</v>
      </c>
      <c r="J2" s="462" t="s">
        <v>160</v>
      </c>
      <c r="K2" s="462" t="s">
        <v>130</v>
      </c>
      <c r="L2" s="462" t="s">
        <v>122</v>
      </c>
      <c r="M2" s="462" t="s">
        <v>187</v>
      </c>
      <c r="N2" s="462" t="s">
        <v>188</v>
      </c>
      <c r="O2" s="462" t="s">
        <v>191</v>
      </c>
      <c r="P2" s="462" t="s">
        <v>123</v>
      </c>
      <c r="Q2" s="462" t="s">
        <v>114</v>
      </c>
      <c r="R2" s="462" t="s">
        <v>161</v>
      </c>
      <c r="S2" s="462" t="s">
        <v>115</v>
      </c>
      <c r="T2" s="462" t="s">
        <v>207</v>
      </c>
      <c r="U2" s="462" t="s">
        <v>116</v>
      </c>
      <c r="V2" s="462" t="s">
        <v>117</v>
      </c>
      <c r="W2" s="462" t="s">
        <v>118</v>
      </c>
      <c r="X2" s="462" t="s">
        <v>125</v>
      </c>
      <c r="Y2" s="462" t="s">
        <v>127</v>
      </c>
      <c r="Z2" s="462" t="s">
        <v>128</v>
      </c>
      <c r="AA2" s="462" t="s">
        <v>209</v>
      </c>
      <c r="AB2" s="462" t="s">
        <v>129</v>
      </c>
      <c r="AC2" s="462" t="s">
        <v>134</v>
      </c>
      <c r="AD2" s="462" t="s">
        <v>135</v>
      </c>
      <c r="AE2" s="462" t="s">
        <v>136</v>
      </c>
      <c r="AF2" s="462" t="s">
        <v>137</v>
      </c>
      <c r="AG2" s="462" t="s">
        <v>138</v>
      </c>
      <c r="AH2" s="462" t="s">
        <v>163</v>
      </c>
      <c r="AI2" s="462" t="s">
        <v>139</v>
      </c>
      <c r="AJ2" s="462" t="s">
        <v>140</v>
      </c>
      <c r="AK2" s="462" t="s">
        <v>154</v>
      </c>
      <c r="AL2" s="462" t="s">
        <v>156</v>
      </c>
      <c r="AM2" s="462" t="s">
        <v>166</v>
      </c>
      <c r="AN2" s="462" t="s">
        <v>169</v>
      </c>
      <c r="AO2" s="462" t="s">
        <v>172</v>
      </c>
      <c r="AP2" s="462" t="s">
        <v>171</v>
      </c>
      <c r="AQ2" s="462" t="s">
        <v>173</v>
      </c>
      <c r="AR2" s="462" t="s">
        <v>183</v>
      </c>
      <c r="AS2" s="462" t="s">
        <v>189</v>
      </c>
      <c r="AT2" s="462" t="s">
        <v>124</v>
      </c>
      <c r="AU2" s="462" t="s">
        <v>190</v>
      </c>
      <c r="AV2" s="462" t="s">
        <v>192</v>
      </c>
      <c r="AW2" s="462" t="s">
        <v>193</v>
      </c>
      <c r="AX2" s="462" t="s">
        <v>182</v>
      </c>
      <c r="AY2" s="462" t="s">
        <v>195</v>
      </c>
      <c r="AZ2" s="463" t="s">
        <v>196</v>
      </c>
      <c r="BA2" s="463" t="s">
        <v>197</v>
      </c>
      <c r="BB2" s="463" t="s">
        <v>200</v>
      </c>
      <c r="BC2" s="463" t="s">
        <v>202</v>
      </c>
      <c r="BD2" s="463" t="s">
        <v>201</v>
      </c>
      <c r="BE2" s="463" t="s">
        <v>199</v>
      </c>
      <c r="BF2" s="463" t="s">
        <v>203</v>
      </c>
      <c r="BG2" s="463" t="s">
        <v>205</v>
      </c>
      <c r="BH2" s="500" t="s">
        <v>211</v>
      </c>
      <c r="BI2" s="500" t="s">
        <v>213</v>
      </c>
      <c r="BJ2" s="477" t="s">
        <v>167</v>
      </c>
      <c r="BK2" s="471" t="s">
        <v>168</v>
      </c>
      <c r="BL2" s="482" t="s">
        <v>206</v>
      </c>
      <c r="BM2" s="167"/>
    </row>
    <row r="3" spans="2:65" x14ac:dyDescent="0.15">
      <c r="B3" s="23">
        <v>1</v>
      </c>
      <c r="C3" s="249" t="str">
        <f>+Bioacem!C7</f>
        <v>D</v>
      </c>
      <c r="D3" s="464"/>
      <c r="E3" s="465"/>
      <c r="F3" s="465"/>
      <c r="G3" s="465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466"/>
      <c r="S3" s="466"/>
      <c r="T3" s="466"/>
      <c r="U3" s="466"/>
      <c r="V3" s="466"/>
      <c r="W3" s="466"/>
      <c r="X3" s="466"/>
      <c r="Y3" s="466"/>
      <c r="Z3" s="466">
        <f>20000+20000+130000+17078+10000+100000+26020+110019+25350+20000+21140+12000+93540</f>
        <v>605147</v>
      </c>
      <c r="AA3" s="466"/>
      <c r="AB3" s="466"/>
      <c r="AC3" s="466"/>
      <c r="AD3" s="466"/>
      <c r="AE3" s="466"/>
      <c r="AF3" s="466"/>
      <c r="AG3" s="466"/>
      <c r="AH3" s="466"/>
      <c r="AI3" s="466"/>
      <c r="AJ3" s="466"/>
      <c r="AK3" s="466"/>
      <c r="AL3" s="466"/>
      <c r="AM3" s="466"/>
      <c r="AN3" s="466"/>
      <c r="AO3" s="466"/>
      <c r="AP3" s="466"/>
      <c r="AQ3" s="466"/>
      <c r="AR3" s="466"/>
      <c r="AS3" s="466"/>
      <c r="AT3" s="465"/>
      <c r="AU3" s="465"/>
      <c r="AV3" s="465"/>
      <c r="AW3" s="465"/>
      <c r="AX3" s="465"/>
      <c r="AY3" s="465"/>
      <c r="AZ3" s="465"/>
      <c r="BA3" s="465"/>
      <c r="BB3" s="465"/>
      <c r="BC3" s="465"/>
      <c r="BD3" s="465"/>
      <c r="BE3" s="465"/>
      <c r="BF3" s="465"/>
      <c r="BG3" s="465"/>
      <c r="BH3" s="465"/>
      <c r="BI3" s="140"/>
      <c r="BJ3" s="505">
        <f t="shared" ref="BJ3:BJ17" si="0">+D3+F3+G3+H3+I3+K3+L3+M3+P3+Q3+S3+U3+W3+X3+Y3+AB3+AC3+AD3+AE3+AF3+AG3+AI3+AJ3+AK3+AL3+AT3+AM3+AN3+AQ3+AO3+AS3+AU3+O3+AV3+AX3+AR3+AW3+AY3+AZ3+BB3+BE3+BC3+BF3+BH3</f>
        <v>0</v>
      </c>
      <c r="BK3" s="472">
        <f t="shared" ref="BK3:BK20" si="1">+R3+N3+J3+E3+AP3+AH3+BA3+BD3+T3+AA3+BI3</f>
        <v>0</v>
      </c>
      <c r="BL3" s="229">
        <f t="shared" ref="BL3:BL7" si="2">+BG3</f>
        <v>0</v>
      </c>
      <c r="BM3" s="486">
        <f>+BJ3+BK3+BL3</f>
        <v>0</v>
      </c>
    </row>
    <row r="4" spans="2:65" x14ac:dyDescent="0.15">
      <c r="B4" s="18">
        <v>2</v>
      </c>
      <c r="C4" s="272" t="str">
        <f>+Bioacem!C8</f>
        <v>L</v>
      </c>
      <c r="D4" s="86"/>
      <c r="E4" s="313"/>
      <c r="F4" s="313"/>
      <c r="G4" s="313"/>
      <c r="H4" s="313"/>
      <c r="I4" s="304"/>
      <c r="J4" s="304"/>
      <c r="K4" s="304"/>
      <c r="L4" s="304"/>
      <c r="M4" s="304"/>
      <c r="N4" s="304"/>
      <c r="O4" s="304">
        <v>380002</v>
      </c>
      <c r="P4" s="304"/>
      <c r="Q4" s="304"/>
      <c r="R4" s="304"/>
      <c r="S4" s="304"/>
      <c r="T4" s="304"/>
      <c r="U4" s="304"/>
      <c r="V4" s="304"/>
      <c r="W4" s="304"/>
      <c r="X4" s="304"/>
      <c r="Y4" s="304"/>
      <c r="Z4" s="429">
        <f>50000+30000+200000+38300+200000+350000+25000+64038+67000+18000+33000+25000+40000+288150+250000+22000+30000+129750+20000+150000+30000</f>
        <v>2060238</v>
      </c>
      <c r="AA4" s="429"/>
      <c r="AB4" s="304"/>
      <c r="AC4" s="304"/>
      <c r="AD4" s="304"/>
      <c r="AE4" s="304"/>
      <c r="AF4" s="304"/>
      <c r="AG4" s="304"/>
      <c r="AH4" s="304"/>
      <c r="AI4" s="304"/>
      <c r="AJ4" s="304"/>
      <c r="AK4" s="304"/>
      <c r="AL4" s="304"/>
      <c r="AM4" s="304"/>
      <c r="AN4" s="304"/>
      <c r="AO4" s="304"/>
      <c r="AP4" s="304"/>
      <c r="AQ4" s="304"/>
      <c r="AR4" s="304"/>
      <c r="AS4" s="304"/>
      <c r="AT4" s="313">
        <v>223912</v>
      </c>
      <c r="AU4" s="313"/>
      <c r="AV4" s="313"/>
      <c r="AW4" s="313">
        <v>579769</v>
      </c>
      <c r="AX4" s="313"/>
      <c r="AY4" s="313"/>
      <c r="AZ4" s="313">
        <f>301000+176463+273276+281650+192597+100000+190286+136181</f>
        <v>1651453</v>
      </c>
      <c r="BA4" s="313"/>
      <c r="BB4" s="313"/>
      <c r="BC4" s="313"/>
      <c r="BD4" s="313"/>
      <c r="BE4" s="313"/>
      <c r="BF4" s="313"/>
      <c r="BG4" s="313"/>
      <c r="BH4" s="313"/>
      <c r="BI4" s="138"/>
      <c r="BJ4" s="506">
        <f t="shared" si="0"/>
        <v>2835136</v>
      </c>
      <c r="BK4" s="473">
        <f t="shared" si="1"/>
        <v>0</v>
      </c>
      <c r="BL4" s="483">
        <f t="shared" si="2"/>
        <v>0</v>
      </c>
      <c r="BM4" s="475">
        <f t="shared" ref="BM4:BM33" si="3">+BJ4+BK4+BL4</f>
        <v>2835136</v>
      </c>
    </row>
    <row r="5" spans="2:65" x14ac:dyDescent="0.15">
      <c r="B5" s="18">
        <v>3</v>
      </c>
      <c r="C5" s="272" t="str">
        <f>+Bioacem!C9</f>
        <v>M</v>
      </c>
      <c r="D5" s="86"/>
      <c r="E5" s="313"/>
      <c r="F5" s="313"/>
      <c r="G5" s="313"/>
      <c r="H5" s="313"/>
      <c r="I5" s="313"/>
      <c r="J5" s="313"/>
      <c r="K5" s="313"/>
      <c r="L5" s="313"/>
      <c r="M5" s="313"/>
      <c r="N5" s="313"/>
      <c r="O5" s="313"/>
      <c r="P5" s="313"/>
      <c r="Q5" s="313"/>
      <c r="R5" s="313"/>
      <c r="S5" s="313"/>
      <c r="T5" s="313"/>
      <c r="U5" s="313"/>
      <c r="V5" s="313"/>
      <c r="W5" s="313"/>
      <c r="X5" s="313"/>
      <c r="Y5" s="313"/>
      <c r="Z5" s="313">
        <f>10000+150833+25000+50000+100000+25000+50000+77950+14000+220053+77950+30000+230000+40000</f>
        <v>1100786</v>
      </c>
      <c r="AA5" s="313"/>
      <c r="AB5" s="313"/>
      <c r="AC5" s="313"/>
      <c r="AD5" s="313"/>
      <c r="AE5" s="313"/>
      <c r="AF5" s="313"/>
      <c r="AG5" s="313"/>
      <c r="AH5" s="313"/>
      <c r="AI5" s="313"/>
      <c r="AJ5" s="313"/>
      <c r="AK5" s="313"/>
      <c r="AL5" s="313"/>
      <c r="AM5" s="313"/>
      <c r="AN5" s="313"/>
      <c r="AO5" s="313"/>
      <c r="AP5" s="313"/>
      <c r="AQ5" s="313"/>
      <c r="AR5" s="313"/>
      <c r="AS5" s="313"/>
      <c r="AT5" s="313"/>
      <c r="AU5" s="313"/>
      <c r="AV5" s="313"/>
      <c r="AW5" s="313"/>
      <c r="AX5" s="313"/>
      <c r="AY5" s="313">
        <v>163757</v>
      </c>
      <c r="AZ5" s="313">
        <f>120604+135214+301172+450178</f>
        <v>1007168</v>
      </c>
      <c r="BA5" s="313"/>
      <c r="BB5" s="313"/>
      <c r="BC5" s="313"/>
      <c r="BD5" s="313"/>
      <c r="BE5" s="313"/>
      <c r="BF5" s="313"/>
      <c r="BG5" s="313"/>
      <c r="BH5" s="313">
        <v>531824</v>
      </c>
      <c r="BI5" s="138"/>
      <c r="BJ5" s="506">
        <f t="shared" si="0"/>
        <v>1702749</v>
      </c>
      <c r="BK5" s="473">
        <f t="shared" si="1"/>
        <v>0</v>
      </c>
      <c r="BL5" s="483">
        <f t="shared" si="2"/>
        <v>0</v>
      </c>
      <c r="BM5" s="475">
        <f t="shared" si="3"/>
        <v>1702749</v>
      </c>
    </row>
    <row r="6" spans="2:65" x14ac:dyDescent="0.15">
      <c r="B6" s="18">
        <v>4</v>
      </c>
      <c r="C6" s="272" t="str">
        <f>+Bioacem!C10</f>
        <v>M</v>
      </c>
      <c r="D6" s="86"/>
      <c r="E6" s="313"/>
      <c r="F6" s="313"/>
      <c r="G6" s="313"/>
      <c r="H6" s="304"/>
      <c r="I6" s="304"/>
      <c r="J6" s="304"/>
      <c r="K6" s="304"/>
      <c r="L6" s="304"/>
      <c r="M6" s="304"/>
      <c r="N6" s="304"/>
      <c r="O6" s="304"/>
      <c r="P6" s="304"/>
      <c r="Q6" s="304"/>
      <c r="R6" s="304"/>
      <c r="S6" s="304"/>
      <c r="T6" s="304"/>
      <c r="U6" s="304"/>
      <c r="V6" s="304"/>
      <c r="W6" s="304"/>
      <c r="X6" s="304"/>
      <c r="Y6" s="304"/>
      <c r="Z6" s="304">
        <f>30000+25000+20000+74003+15000+27000+158434+48641+50000+23073+65011+40000+20000+10000</f>
        <v>606162</v>
      </c>
      <c r="AA6" s="304"/>
      <c r="AB6" s="304"/>
      <c r="AC6" s="304"/>
      <c r="AD6" s="304"/>
      <c r="AE6" s="304"/>
      <c r="AF6" s="304"/>
      <c r="AG6" s="304"/>
      <c r="AH6" s="304"/>
      <c r="AI6" s="304"/>
      <c r="AJ6" s="304"/>
      <c r="AK6" s="304"/>
      <c r="AL6" s="304"/>
      <c r="AM6" s="304"/>
      <c r="AN6" s="304"/>
      <c r="AO6" s="304"/>
      <c r="AP6" s="304"/>
      <c r="AQ6" s="304"/>
      <c r="AR6" s="304"/>
      <c r="AS6" s="304"/>
      <c r="AT6" s="313"/>
      <c r="AU6" s="313"/>
      <c r="AV6" s="313"/>
      <c r="AW6" s="313"/>
      <c r="AX6" s="313"/>
      <c r="AY6" s="313"/>
      <c r="AZ6" s="313">
        <f>198552+91934</f>
        <v>290486</v>
      </c>
      <c r="BA6" s="313"/>
      <c r="BB6" s="313"/>
      <c r="BC6" s="313"/>
      <c r="BD6" s="313"/>
      <c r="BE6" s="313"/>
      <c r="BF6" s="313"/>
      <c r="BG6" s="313"/>
      <c r="BH6" s="313"/>
      <c r="BI6" s="138"/>
      <c r="BJ6" s="506">
        <f t="shared" si="0"/>
        <v>290486</v>
      </c>
      <c r="BK6" s="473">
        <f t="shared" si="1"/>
        <v>0</v>
      </c>
      <c r="BL6" s="483">
        <f t="shared" si="2"/>
        <v>0</v>
      </c>
      <c r="BM6" s="475">
        <f t="shared" si="3"/>
        <v>290486</v>
      </c>
    </row>
    <row r="7" spans="2:65" x14ac:dyDescent="0.15">
      <c r="B7" s="18">
        <v>5</v>
      </c>
      <c r="C7" s="272" t="str">
        <f>+Bioacem!C11</f>
        <v>J</v>
      </c>
      <c r="D7" s="86">
        <v>297033</v>
      </c>
      <c r="E7" s="313"/>
      <c r="F7" s="313"/>
      <c r="G7" s="313"/>
      <c r="H7" s="304"/>
      <c r="I7" s="304"/>
      <c r="J7" s="304"/>
      <c r="K7" s="304"/>
      <c r="L7" s="304"/>
      <c r="M7" s="304"/>
      <c r="N7" s="304"/>
      <c r="O7" s="304"/>
      <c r="P7" s="304"/>
      <c r="Q7" s="304"/>
      <c r="R7" s="304"/>
      <c r="S7" s="304"/>
      <c r="T7" s="304"/>
      <c r="U7" s="304"/>
      <c r="V7" s="304"/>
      <c r="W7" s="304"/>
      <c r="X7" s="304"/>
      <c r="Y7" s="304"/>
      <c r="Z7" s="304">
        <f>20000+80000+100000+20000+149335+15000+135000</f>
        <v>519335</v>
      </c>
      <c r="AA7" s="304"/>
      <c r="AB7" s="304"/>
      <c r="AC7" s="304"/>
      <c r="AD7" s="304"/>
      <c r="AE7" s="304"/>
      <c r="AF7" s="304"/>
      <c r="AG7" s="304"/>
      <c r="AH7" s="304"/>
      <c r="AI7" s="304"/>
      <c r="AJ7" s="304"/>
      <c r="AK7" s="304"/>
      <c r="AL7" s="304"/>
      <c r="AM7" s="304"/>
      <c r="AN7" s="304"/>
      <c r="AO7" s="304"/>
      <c r="AP7" s="304"/>
      <c r="AQ7" s="304"/>
      <c r="AR7" s="304"/>
      <c r="AS7" s="304"/>
      <c r="AT7" s="313"/>
      <c r="AU7" s="313"/>
      <c r="AV7" s="313"/>
      <c r="AW7" s="313"/>
      <c r="AX7" s="313"/>
      <c r="AY7" s="313"/>
      <c r="AZ7" s="313">
        <f>151016+333658+240101+164462</f>
        <v>889237</v>
      </c>
      <c r="BA7" s="313"/>
      <c r="BB7" s="313"/>
      <c r="BC7" s="313"/>
      <c r="BD7" s="313"/>
      <c r="BE7" s="313"/>
      <c r="BF7" s="313"/>
      <c r="BG7" s="313"/>
      <c r="BH7" s="313"/>
      <c r="BI7" s="138"/>
      <c r="BJ7" s="506">
        <f t="shared" si="0"/>
        <v>1186270</v>
      </c>
      <c r="BK7" s="473">
        <f t="shared" si="1"/>
        <v>0</v>
      </c>
      <c r="BL7" s="483">
        <f t="shared" si="2"/>
        <v>0</v>
      </c>
      <c r="BM7" s="475">
        <f t="shared" si="3"/>
        <v>1186270</v>
      </c>
    </row>
    <row r="8" spans="2:65" x14ac:dyDescent="0.15">
      <c r="B8" s="18">
        <v>6</v>
      </c>
      <c r="C8" s="272" t="str">
        <f>+Bioacem!C12</f>
        <v>V</v>
      </c>
      <c r="D8" s="86"/>
      <c r="E8" s="313"/>
      <c r="F8" s="313"/>
      <c r="G8" s="313"/>
      <c r="H8" s="313"/>
      <c r="I8" s="313"/>
      <c r="J8" s="313">
        <v>57750</v>
      </c>
      <c r="K8" s="313"/>
      <c r="L8" s="313"/>
      <c r="M8" s="313"/>
      <c r="N8" s="313"/>
      <c r="O8" s="313"/>
      <c r="P8" s="313"/>
      <c r="Q8" s="313">
        <v>270685</v>
      </c>
      <c r="R8" s="313">
        <v>84700</v>
      </c>
      <c r="S8" s="313"/>
      <c r="T8" s="313"/>
      <c r="U8" s="313"/>
      <c r="V8" s="313"/>
      <c r="W8" s="313"/>
      <c r="X8" s="313"/>
      <c r="Y8" s="313"/>
      <c r="Z8" s="313">
        <f>68000+46451+30000+20000+15000+10000+50000+169194+50000+54008+35000+30000+33000+50000+50000+146644+35013+50000+50000+45570+900000+50000+40000+60760</f>
        <v>2088640</v>
      </c>
      <c r="AA8" s="313"/>
      <c r="AB8" s="313"/>
      <c r="AC8" s="313"/>
      <c r="AD8" s="313"/>
      <c r="AE8" s="313">
        <v>78626</v>
      </c>
      <c r="AF8" s="313"/>
      <c r="AG8" s="313"/>
      <c r="AH8" s="313"/>
      <c r="AI8" s="313"/>
      <c r="AJ8" s="313"/>
      <c r="AK8" s="313"/>
      <c r="AL8" s="313"/>
      <c r="AM8" s="313"/>
      <c r="AN8" s="313"/>
      <c r="AO8" s="313"/>
      <c r="AP8" s="313"/>
      <c r="AQ8" s="313"/>
      <c r="AR8" s="313"/>
      <c r="AS8" s="313"/>
      <c r="AT8" s="313"/>
      <c r="AU8" s="313"/>
      <c r="AV8" s="313"/>
      <c r="AW8" s="313"/>
      <c r="AX8" s="313"/>
      <c r="AY8" s="313"/>
      <c r="AZ8" s="313">
        <f>351342+135848+362759</f>
        <v>849949</v>
      </c>
      <c r="BA8" s="313"/>
      <c r="BB8" s="313"/>
      <c r="BC8" s="313"/>
      <c r="BD8" s="313"/>
      <c r="BE8" s="313">
        <v>211749</v>
      </c>
      <c r="BF8" s="313"/>
      <c r="BG8" s="313"/>
      <c r="BH8" s="313">
        <v>530942</v>
      </c>
      <c r="BI8" s="138"/>
      <c r="BJ8" s="506">
        <f t="shared" si="0"/>
        <v>1941951</v>
      </c>
      <c r="BK8" s="473">
        <f t="shared" si="1"/>
        <v>142450</v>
      </c>
      <c r="BL8" s="483">
        <f>+BG8</f>
        <v>0</v>
      </c>
      <c r="BM8" s="475">
        <f t="shared" si="3"/>
        <v>2084401</v>
      </c>
    </row>
    <row r="9" spans="2:65" x14ac:dyDescent="0.15">
      <c r="B9" s="18">
        <v>7</v>
      </c>
      <c r="C9" s="272" t="str">
        <f>+Bioacem!C13</f>
        <v>S</v>
      </c>
      <c r="D9" s="86"/>
      <c r="E9" s="313"/>
      <c r="F9" s="313"/>
      <c r="G9" s="313"/>
      <c r="H9" s="313"/>
      <c r="I9" s="313"/>
      <c r="J9" s="313"/>
      <c r="K9" s="313"/>
      <c r="L9" s="313"/>
      <c r="M9" s="313"/>
      <c r="N9" s="313"/>
      <c r="O9" s="313"/>
      <c r="P9" s="313"/>
      <c r="Q9" s="313"/>
      <c r="R9" s="313"/>
      <c r="S9" s="313"/>
      <c r="T9" s="313"/>
      <c r="U9" s="313"/>
      <c r="V9" s="313"/>
      <c r="W9" s="313"/>
      <c r="X9" s="313"/>
      <c r="Y9" s="313"/>
      <c r="Z9" s="313">
        <f>30000+132381+172012+50000+50000+40370+34500+15000+150000+251948+20000+20000+50000+140000+70000+66338+171638+40000+225192</f>
        <v>1729379</v>
      </c>
      <c r="AA9" s="313"/>
      <c r="AB9" s="313"/>
      <c r="AC9" s="313"/>
      <c r="AD9" s="313"/>
      <c r="AE9" s="313"/>
      <c r="AF9" s="313"/>
      <c r="AG9" s="313"/>
      <c r="AH9" s="313"/>
      <c r="AI9" s="313"/>
      <c r="AJ9" s="313"/>
      <c r="AK9" s="313"/>
      <c r="AL9" s="313"/>
      <c r="AM9" s="313"/>
      <c r="AN9" s="313"/>
      <c r="AO9" s="313"/>
      <c r="AP9" s="313"/>
      <c r="AQ9" s="313"/>
      <c r="AR9" s="313"/>
      <c r="AS9" s="313"/>
      <c r="AT9" s="313">
        <v>217010</v>
      </c>
      <c r="AU9" s="313"/>
      <c r="AV9" s="313"/>
      <c r="AW9" s="313"/>
      <c r="AX9" s="313"/>
      <c r="AY9" s="313"/>
      <c r="AZ9" s="313">
        <f>114627+369005+100061+379819+150371+135009</f>
        <v>1248892</v>
      </c>
      <c r="BA9" s="459">
        <v>23100</v>
      </c>
      <c r="BB9" s="313"/>
      <c r="BC9" s="313"/>
      <c r="BD9" s="313"/>
      <c r="BE9" s="313"/>
      <c r="BF9" s="313"/>
      <c r="BG9" s="313"/>
      <c r="BH9" s="313"/>
      <c r="BI9" s="138"/>
      <c r="BJ9" s="506">
        <f t="shared" si="0"/>
        <v>1465902</v>
      </c>
      <c r="BK9" s="473">
        <f t="shared" si="1"/>
        <v>23100</v>
      </c>
      <c r="BL9" s="483">
        <f t="shared" ref="BL9:BL33" si="4">+BG9</f>
        <v>0</v>
      </c>
      <c r="BM9" s="475">
        <f t="shared" si="3"/>
        <v>1489002</v>
      </c>
    </row>
    <row r="10" spans="2:65" x14ac:dyDescent="0.15">
      <c r="B10" s="18">
        <v>8</v>
      </c>
      <c r="C10" s="272" t="str">
        <f>+Bioacem!C14</f>
        <v>D</v>
      </c>
      <c r="D10" s="86"/>
      <c r="E10" s="313"/>
      <c r="F10" s="313"/>
      <c r="G10" s="313"/>
      <c r="H10" s="313"/>
      <c r="I10" s="313"/>
      <c r="J10" s="313"/>
      <c r="K10" s="313"/>
      <c r="L10" s="313"/>
      <c r="M10" s="313"/>
      <c r="N10" s="313"/>
      <c r="O10" s="313"/>
      <c r="P10" s="313"/>
      <c r="Q10" s="313"/>
      <c r="R10" s="313"/>
      <c r="S10" s="313"/>
      <c r="T10" s="313"/>
      <c r="U10" s="313"/>
      <c r="V10" s="313"/>
      <c r="W10" s="313"/>
      <c r="X10" s="313"/>
      <c r="Y10" s="313"/>
      <c r="Z10" s="313">
        <f>477214+26000+50000+200000+120000+121034+50000+20000+46024+20000+18000+120000+10000</f>
        <v>1278272</v>
      </c>
      <c r="AA10" s="313"/>
      <c r="AB10" s="313"/>
      <c r="AC10" s="313"/>
      <c r="AD10" s="313"/>
      <c r="AE10" s="313"/>
      <c r="AF10" s="313"/>
      <c r="AG10" s="313"/>
      <c r="AH10" s="313"/>
      <c r="AI10" s="313"/>
      <c r="AJ10" s="313"/>
      <c r="AK10" s="313"/>
      <c r="AL10" s="313"/>
      <c r="AM10" s="313"/>
      <c r="AN10" s="313"/>
      <c r="AO10" s="313"/>
      <c r="AP10" s="313"/>
      <c r="AQ10" s="313"/>
      <c r="AR10" s="313"/>
      <c r="AS10" s="313"/>
      <c r="AT10" s="313"/>
      <c r="AU10" s="313"/>
      <c r="AV10" s="313"/>
      <c r="AW10" s="313"/>
      <c r="AX10" s="313"/>
      <c r="AY10" s="313"/>
      <c r="AZ10" s="313">
        <f>39141+41269</f>
        <v>80410</v>
      </c>
      <c r="BA10" s="313"/>
      <c r="BB10" s="313"/>
      <c r="BC10" s="313"/>
      <c r="BD10" s="313"/>
      <c r="BE10" s="313"/>
      <c r="BF10" s="313"/>
      <c r="BG10" s="313"/>
      <c r="BH10" s="313"/>
      <c r="BI10" s="138"/>
      <c r="BJ10" s="506">
        <f t="shared" si="0"/>
        <v>80410</v>
      </c>
      <c r="BK10" s="473">
        <f t="shared" si="1"/>
        <v>0</v>
      </c>
      <c r="BL10" s="483">
        <f t="shared" si="4"/>
        <v>0</v>
      </c>
      <c r="BM10" s="475">
        <f t="shared" si="3"/>
        <v>80410</v>
      </c>
    </row>
    <row r="11" spans="2:65" x14ac:dyDescent="0.15">
      <c r="B11" s="18">
        <v>9</v>
      </c>
      <c r="C11" s="272" t="str">
        <f>+Bioacem!C15</f>
        <v>L</v>
      </c>
      <c r="D11" s="86"/>
      <c r="E11" s="313"/>
      <c r="F11" s="313"/>
      <c r="G11" s="313"/>
      <c r="H11" s="313"/>
      <c r="I11" s="313"/>
      <c r="J11" s="313"/>
      <c r="K11" s="313"/>
      <c r="L11" s="313"/>
      <c r="M11" s="313"/>
      <c r="N11" s="313"/>
      <c r="O11" s="313"/>
      <c r="P11" s="313"/>
      <c r="Q11" s="313"/>
      <c r="R11" s="313"/>
      <c r="S11" s="313"/>
      <c r="T11" s="313"/>
      <c r="U11" s="313"/>
      <c r="V11" s="313"/>
      <c r="W11" s="313"/>
      <c r="X11" s="313"/>
      <c r="Y11" s="313"/>
      <c r="Z11" s="313">
        <f>206500+140000+50000+10000+12000+32000+150000+50000+80000+100000+168463+20000+65005+233436+43097+34650+333100+301000+32000</f>
        <v>2061251</v>
      </c>
      <c r="AA11" s="313"/>
      <c r="AB11" s="313"/>
      <c r="AC11" s="313"/>
      <c r="AD11" s="313"/>
      <c r="AE11" s="313"/>
      <c r="AF11" s="313"/>
      <c r="AG11" s="313">
        <v>91824</v>
      </c>
      <c r="AH11" s="313"/>
      <c r="AI11" s="313"/>
      <c r="AJ11" s="313"/>
      <c r="AK11" s="313"/>
      <c r="AL11" s="313"/>
      <c r="AM11" s="313"/>
      <c r="AN11" s="313"/>
      <c r="AO11" s="313"/>
      <c r="AP11" s="313"/>
      <c r="AQ11" s="313"/>
      <c r="AR11" s="313"/>
      <c r="AS11" s="313"/>
      <c r="AT11" s="313"/>
      <c r="AU11" s="313"/>
      <c r="AV11" s="313"/>
      <c r="AW11" s="313"/>
      <c r="AX11" s="313"/>
      <c r="AY11" s="313"/>
      <c r="AZ11" s="313">
        <f>341592+130011+226675+280468+373541</f>
        <v>1352287</v>
      </c>
      <c r="BA11" s="313"/>
      <c r="BB11" s="313"/>
      <c r="BC11" s="313"/>
      <c r="BD11" s="313"/>
      <c r="BE11" s="313"/>
      <c r="BF11" s="313"/>
      <c r="BG11" s="313"/>
      <c r="BH11" s="313"/>
      <c r="BI11" s="138"/>
      <c r="BJ11" s="506">
        <f t="shared" si="0"/>
        <v>1444111</v>
      </c>
      <c r="BK11" s="473">
        <f t="shared" si="1"/>
        <v>0</v>
      </c>
      <c r="BL11" s="483">
        <f t="shared" si="4"/>
        <v>0</v>
      </c>
      <c r="BM11" s="475">
        <f t="shared" si="3"/>
        <v>1444111</v>
      </c>
    </row>
    <row r="12" spans="2:65" x14ac:dyDescent="0.15">
      <c r="B12" s="18">
        <v>10</v>
      </c>
      <c r="C12" s="272" t="str">
        <f>+Bioacem!C16</f>
        <v>M</v>
      </c>
      <c r="D12" s="86"/>
      <c r="E12" s="313"/>
      <c r="F12" s="313"/>
      <c r="G12" s="313"/>
      <c r="H12" s="313"/>
      <c r="I12" s="313"/>
      <c r="J12" s="313"/>
      <c r="K12" s="313"/>
      <c r="L12" s="313"/>
      <c r="M12" s="313"/>
      <c r="N12" s="313"/>
      <c r="O12" s="313"/>
      <c r="P12" s="313"/>
      <c r="Q12" s="313"/>
      <c r="R12" s="313"/>
      <c r="S12" s="313"/>
      <c r="T12" s="313"/>
      <c r="U12" s="313"/>
      <c r="V12" s="313"/>
      <c r="W12" s="313"/>
      <c r="X12" s="313"/>
      <c r="Y12" s="313"/>
      <c r="Z12" s="313">
        <f>356000+50000+100000+50000+108489+110000+52383+135826+138032+200000+45000+10700+36760+45570+30000+140019+10000</f>
        <v>1618779</v>
      </c>
      <c r="AA12" s="313"/>
      <c r="AB12" s="313"/>
      <c r="AC12" s="313"/>
      <c r="AD12" s="313"/>
      <c r="AE12" s="313"/>
      <c r="AF12" s="313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  <c r="AS12" s="313"/>
      <c r="AT12" s="313"/>
      <c r="AU12" s="313"/>
      <c r="AV12" s="313"/>
      <c r="AW12" s="313"/>
      <c r="AX12" s="313"/>
      <c r="AY12" s="313"/>
      <c r="AZ12" s="313">
        <f>348687+466034+180600+421099+145961</f>
        <v>1562381</v>
      </c>
      <c r="BA12" s="313">
        <v>180950</v>
      </c>
      <c r="BB12" s="313"/>
      <c r="BC12" s="313"/>
      <c r="BD12" s="313"/>
      <c r="BE12" s="313"/>
      <c r="BF12" s="313"/>
      <c r="BG12" s="313"/>
      <c r="BH12" s="313"/>
      <c r="BI12" s="138"/>
      <c r="BJ12" s="506">
        <f t="shared" si="0"/>
        <v>1562381</v>
      </c>
      <c r="BK12" s="473">
        <f t="shared" si="1"/>
        <v>180950</v>
      </c>
      <c r="BL12" s="483">
        <f t="shared" si="4"/>
        <v>0</v>
      </c>
      <c r="BM12" s="475">
        <f t="shared" si="3"/>
        <v>1743331</v>
      </c>
    </row>
    <row r="13" spans="2:65" x14ac:dyDescent="0.15">
      <c r="B13" s="18">
        <v>11</v>
      </c>
      <c r="C13" s="272" t="str">
        <f>+Bioacem!C17</f>
        <v>M</v>
      </c>
      <c r="D13" s="86"/>
      <c r="E13" s="313"/>
      <c r="F13" s="313"/>
      <c r="G13" s="313"/>
      <c r="H13" s="313"/>
      <c r="I13" s="313"/>
      <c r="J13" s="313"/>
      <c r="K13" s="313"/>
      <c r="L13" s="313"/>
      <c r="M13" s="313"/>
      <c r="N13" s="313"/>
      <c r="O13" s="313"/>
      <c r="P13" s="313"/>
      <c r="Q13" s="313"/>
      <c r="R13" s="313"/>
      <c r="S13" s="313"/>
      <c r="T13" s="313"/>
      <c r="U13" s="313"/>
      <c r="V13" s="313"/>
      <c r="W13" s="313"/>
      <c r="X13" s="313"/>
      <c r="Y13" s="313"/>
      <c r="Z13" s="313">
        <f>100000+63000+120000+75000+20000+25000+50000+33000+13000+20000+75980+23043+50000+100000+40000+69037+30000+47900+15000+30000+20000+35000+20000</f>
        <v>1074960</v>
      </c>
      <c r="AA13" s="313"/>
      <c r="AB13" s="313"/>
      <c r="AC13" s="313"/>
      <c r="AD13" s="313"/>
      <c r="AE13" s="313"/>
      <c r="AF13" s="313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  <c r="AS13" s="313"/>
      <c r="AT13" s="313"/>
      <c r="AU13" s="313"/>
      <c r="AV13" s="313"/>
      <c r="AW13" s="313"/>
      <c r="AX13" s="313"/>
      <c r="AY13" s="313"/>
      <c r="AZ13" s="313">
        <f>291196+106006+50005+378045+240134</f>
        <v>1065386</v>
      </c>
      <c r="BA13" s="313"/>
      <c r="BB13" s="313"/>
      <c r="BC13" s="313"/>
      <c r="BD13" s="313"/>
      <c r="BE13" s="313">
        <v>103641</v>
      </c>
      <c r="BF13" s="313"/>
      <c r="BG13" s="313"/>
      <c r="BH13" s="313"/>
      <c r="BI13" s="138"/>
      <c r="BJ13" s="506">
        <f t="shared" si="0"/>
        <v>1169027</v>
      </c>
      <c r="BK13" s="473">
        <f t="shared" si="1"/>
        <v>0</v>
      </c>
      <c r="BL13" s="483">
        <f t="shared" si="4"/>
        <v>0</v>
      </c>
      <c r="BM13" s="475">
        <f t="shared" si="3"/>
        <v>1169027</v>
      </c>
    </row>
    <row r="14" spans="2:65" x14ac:dyDescent="0.15">
      <c r="B14" s="18">
        <v>12</v>
      </c>
      <c r="C14" s="272" t="str">
        <f>+Bioacem!C18</f>
        <v>J</v>
      </c>
      <c r="D14" s="86"/>
      <c r="E14" s="313"/>
      <c r="F14" s="313"/>
      <c r="G14" s="313"/>
      <c r="H14" s="313"/>
      <c r="I14" s="313"/>
      <c r="J14" s="313"/>
      <c r="K14" s="313"/>
      <c r="L14" s="313"/>
      <c r="M14" s="313"/>
      <c r="N14" s="313"/>
      <c r="O14" s="313"/>
      <c r="P14" s="313"/>
      <c r="Q14" s="313">
        <f>150000+267181</f>
        <v>417181</v>
      </c>
      <c r="R14" s="313"/>
      <c r="S14" s="313"/>
      <c r="T14" s="313"/>
      <c r="U14" s="313"/>
      <c r="V14" s="313"/>
      <c r="W14" s="313"/>
      <c r="X14" s="313"/>
      <c r="Y14" s="313"/>
      <c r="Z14" s="313">
        <f>35000+120000+20000+40000+39000+191092+75023+30000+30000+16000+32000+50000+100000+20000+61502+100000+181414+15190+110016+10000</f>
        <v>1276237</v>
      </c>
      <c r="AA14" s="313"/>
      <c r="AB14" s="313"/>
      <c r="AC14" s="313"/>
      <c r="AD14" s="313"/>
      <c r="AE14" s="313"/>
      <c r="AF14" s="313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  <c r="AS14" s="313"/>
      <c r="AT14" s="313"/>
      <c r="AU14" s="313"/>
      <c r="AV14" s="313"/>
      <c r="AW14" s="313"/>
      <c r="AX14" s="313"/>
      <c r="AY14" s="313"/>
      <c r="AZ14" s="313">
        <v>120047</v>
      </c>
      <c r="BA14" s="313"/>
      <c r="BB14" s="313"/>
      <c r="BC14" s="313"/>
      <c r="BD14" s="313"/>
      <c r="BE14" s="313">
        <v>123920</v>
      </c>
      <c r="BF14" s="313"/>
      <c r="BG14" s="313"/>
      <c r="BH14" s="313"/>
      <c r="BI14" s="138"/>
      <c r="BJ14" s="506">
        <f t="shared" si="0"/>
        <v>661148</v>
      </c>
      <c r="BK14" s="473">
        <f t="shared" si="1"/>
        <v>0</v>
      </c>
      <c r="BL14" s="483">
        <f t="shared" si="4"/>
        <v>0</v>
      </c>
      <c r="BM14" s="475">
        <f t="shared" si="3"/>
        <v>661148</v>
      </c>
    </row>
    <row r="15" spans="2:65" x14ac:dyDescent="0.15">
      <c r="B15" s="18">
        <v>13</v>
      </c>
      <c r="C15" s="272" t="str">
        <f>+Bioacem!C19</f>
        <v>V</v>
      </c>
      <c r="D15" s="86"/>
      <c r="E15" s="313"/>
      <c r="F15" s="313"/>
      <c r="G15" s="313"/>
      <c r="H15" s="313"/>
      <c r="I15" s="313"/>
      <c r="J15" s="313"/>
      <c r="K15" s="313"/>
      <c r="L15" s="313"/>
      <c r="M15" s="313"/>
      <c r="N15" s="313"/>
      <c r="O15" s="313"/>
      <c r="P15" s="313"/>
      <c r="Q15" s="313">
        <v>150000</v>
      </c>
      <c r="R15" s="313"/>
      <c r="S15" s="313"/>
      <c r="T15" s="313"/>
      <c r="U15" s="313"/>
      <c r="V15" s="313"/>
      <c r="W15" s="313"/>
      <c r="X15" s="313"/>
      <c r="Y15" s="313"/>
      <c r="Z15" s="313">
        <f>60000+72000+15800+50000+20000+46021+350000+133010+100000+20000+50000+20500+20000</f>
        <v>957331</v>
      </c>
      <c r="AA15" s="313"/>
      <c r="AB15" s="313"/>
      <c r="AC15" s="313"/>
      <c r="AD15" s="313"/>
      <c r="AE15" s="313"/>
      <c r="AF15" s="313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  <c r="AS15" s="313"/>
      <c r="AT15" s="313"/>
      <c r="AU15" s="313"/>
      <c r="AV15" s="313"/>
      <c r="AW15" s="313"/>
      <c r="AX15" s="313"/>
      <c r="AY15" s="313">
        <v>156092</v>
      </c>
      <c r="AZ15" s="430">
        <f>226116+239790+181030+208066</f>
        <v>855002</v>
      </c>
      <c r="BA15" s="313"/>
      <c r="BB15" s="313"/>
      <c r="BC15" s="313"/>
      <c r="BD15" s="313"/>
      <c r="BE15" s="313">
        <v>120798</v>
      </c>
      <c r="BF15" s="313"/>
      <c r="BG15" s="313"/>
      <c r="BH15" s="313"/>
      <c r="BI15" s="138"/>
      <c r="BJ15" s="506">
        <f t="shared" si="0"/>
        <v>1281892</v>
      </c>
      <c r="BK15" s="473">
        <f t="shared" si="1"/>
        <v>0</v>
      </c>
      <c r="BL15" s="483">
        <f t="shared" si="4"/>
        <v>0</v>
      </c>
      <c r="BM15" s="475">
        <f t="shared" si="3"/>
        <v>1281892</v>
      </c>
    </row>
    <row r="16" spans="2:65" x14ac:dyDescent="0.15">
      <c r="B16" s="18">
        <v>14</v>
      </c>
      <c r="C16" s="272" t="str">
        <f>+Bioacem!C20</f>
        <v>S</v>
      </c>
      <c r="D16" s="86"/>
      <c r="E16" s="313"/>
      <c r="F16" s="313"/>
      <c r="G16" s="313"/>
      <c r="H16" s="313"/>
      <c r="I16" s="313"/>
      <c r="J16" s="313"/>
      <c r="K16" s="313"/>
      <c r="L16" s="313"/>
      <c r="M16" s="313"/>
      <c r="N16" s="313"/>
      <c r="O16" s="313"/>
      <c r="P16" s="313"/>
      <c r="Q16" s="313"/>
      <c r="R16" s="313"/>
      <c r="S16" s="313"/>
      <c r="T16" s="313"/>
      <c r="U16" s="313"/>
      <c r="V16" s="313"/>
      <c r="W16" s="313"/>
      <c r="X16" s="313"/>
      <c r="Y16" s="313"/>
      <c r="Z16" s="313">
        <f>30000+450000+100000+200000+15000+10000+30000+26400+20000+11000+19000+20000+125850+100000+13580+70000+34642+18052+85000</f>
        <v>1378524</v>
      </c>
      <c r="AA16" s="313"/>
      <c r="AB16" s="313"/>
      <c r="AC16" s="313"/>
      <c r="AD16" s="313"/>
      <c r="AE16" s="313"/>
      <c r="AF16" s="313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  <c r="AS16" s="313"/>
      <c r="AT16" s="313"/>
      <c r="AU16" s="313"/>
      <c r="AV16" s="313"/>
      <c r="AW16" s="313"/>
      <c r="AX16" s="313"/>
      <c r="AY16" s="313"/>
      <c r="AZ16" s="313">
        <f>365145+269513</f>
        <v>634658</v>
      </c>
      <c r="BA16" s="313"/>
      <c r="BB16" s="313"/>
      <c r="BC16" s="313"/>
      <c r="BD16" s="313"/>
      <c r="BE16" s="313"/>
      <c r="BF16" s="313"/>
      <c r="BG16" s="313"/>
      <c r="BH16" s="313"/>
      <c r="BI16" s="138"/>
      <c r="BJ16" s="506">
        <f t="shared" si="0"/>
        <v>634658</v>
      </c>
      <c r="BK16" s="473">
        <f t="shared" si="1"/>
        <v>0</v>
      </c>
      <c r="BL16" s="483">
        <f t="shared" si="4"/>
        <v>0</v>
      </c>
      <c r="BM16" s="475">
        <f t="shared" si="3"/>
        <v>634658</v>
      </c>
    </row>
    <row r="17" spans="2:65" x14ac:dyDescent="0.15">
      <c r="B17" s="18">
        <v>15</v>
      </c>
      <c r="C17" s="272" t="str">
        <f>+Bioacem!C21</f>
        <v>D</v>
      </c>
      <c r="D17" s="86"/>
      <c r="E17" s="313"/>
      <c r="F17" s="313"/>
      <c r="G17" s="313"/>
      <c r="H17" s="313"/>
      <c r="I17" s="313"/>
      <c r="J17" s="313"/>
      <c r="K17" s="313"/>
      <c r="L17" s="313"/>
      <c r="M17" s="313"/>
      <c r="N17" s="313"/>
      <c r="O17" s="313"/>
      <c r="P17" s="313"/>
      <c r="Q17" s="313"/>
      <c r="R17" s="313"/>
      <c r="S17" s="313"/>
      <c r="T17" s="313"/>
      <c r="U17" s="313"/>
      <c r="V17" s="313"/>
      <c r="W17" s="313"/>
      <c r="X17" s="313"/>
      <c r="Y17" s="313"/>
      <c r="Z17" s="313">
        <f>20000+200000+6618+40000+20000+50000+37839+65000+30000+100000+15000+20000</f>
        <v>604457</v>
      </c>
      <c r="AA17" s="313"/>
      <c r="AB17" s="313"/>
      <c r="AC17" s="313"/>
      <c r="AD17" s="313"/>
      <c r="AE17" s="313"/>
      <c r="AF17" s="313"/>
      <c r="AG17" s="313"/>
      <c r="AH17" s="313"/>
      <c r="AI17" s="313"/>
      <c r="AJ17" s="313"/>
      <c r="AK17" s="313"/>
      <c r="AL17" s="313"/>
      <c r="AM17" s="313"/>
      <c r="AN17" s="313"/>
      <c r="AO17" s="313"/>
      <c r="AP17" s="313"/>
      <c r="AQ17" s="313"/>
      <c r="AR17" s="313"/>
      <c r="AS17" s="313"/>
      <c r="AT17" s="313"/>
      <c r="AU17" s="313"/>
      <c r="AV17" s="313"/>
      <c r="AW17" s="313"/>
      <c r="AX17" s="313"/>
      <c r="AY17" s="313"/>
      <c r="AZ17" s="313">
        <v>253969</v>
      </c>
      <c r="BA17" s="313"/>
      <c r="BB17" s="313"/>
      <c r="BC17" s="313"/>
      <c r="BD17" s="313"/>
      <c r="BE17" s="313"/>
      <c r="BF17" s="313"/>
      <c r="BG17" s="313"/>
      <c r="BH17" s="313"/>
      <c r="BI17" s="138"/>
      <c r="BJ17" s="506">
        <f t="shared" si="0"/>
        <v>253969</v>
      </c>
      <c r="BK17" s="473">
        <f t="shared" si="1"/>
        <v>0</v>
      </c>
      <c r="BL17" s="483">
        <f t="shared" si="4"/>
        <v>0</v>
      </c>
      <c r="BM17" s="475">
        <f t="shared" si="3"/>
        <v>253969</v>
      </c>
    </row>
    <row r="18" spans="2:65" x14ac:dyDescent="0.15">
      <c r="B18" s="18">
        <v>16</v>
      </c>
      <c r="C18" s="272" t="str">
        <f>+Bioacem!C22</f>
        <v>L</v>
      </c>
      <c r="D18" s="86"/>
      <c r="E18" s="313"/>
      <c r="F18" s="313"/>
      <c r="G18" s="313"/>
      <c r="H18" s="313"/>
      <c r="I18" s="313"/>
      <c r="J18" s="313"/>
      <c r="K18" s="313"/>
      <c r="L18" s="313"/>
      <c r="M18" s="313"/>
      <c r="N18" s="313"/>
      <c r="O18" s="313"/>
      <c r="P18" s="313"/>
      <c r="Q18" s="313"/>
      <c r="R18" s="313"/>
      <c r="S18" s="313"/>
      <c r="T18" s="313"/>
      <c r="U18" s="313"/>
      <c r="V18" s="313"/>
      <c r="W18" s="313"/>
      <c r="X18" s="313"/>
      <c r="Y18" s="313"/>
      <c r="Z18" s="313">
        <f>150000+100000+20000+35000+50000+100000+10000+177590+23043+100000+200000+20000+189200+60000</f>
        <v>1234833</v>
      </c>
      <c r="AA18" s="313"/>
      <c r="AB18" s="313"/>
      <c r="AC18" s="313"/>
      <c r="AD18" s="313"/>
      <c r="AE18" s="313"/>
      <c r="AF18" s="313"/>
      <c r="AG18" s="313"/>
      <c r="AH18" s="313"/>
      <c r="AI18" s="313"/>
      <c r="AJ18" s="313"/>
      <c r="AK18" s="313"/>
      <c r="AL18" s="313"/>
      <c r="AM18" s="313"/>
      <c r="AN18" s="313"/>
      <c r="AO18" s="313"/>
      <c r="AP18" s="313"/>
      <c r="AQ18" s="313"/>
      <c r="AR18" s="313"/>
      <c r="AS18" s="313"/>
      <c r="AT18" s="313"/>
      <c r="AU18" s="313"/>
      <c r="AV18" s="313"/>
      <c r="AW18" s="313"/>
      <c r="AX18" s="313"/>
      <c r="AY18" s="313"/>
      <c r="AZ18" s="313">
        <f>317620+120077+134010+100406+374573+331627</f>
        <v>1378313</v>
      </c>
      <c r="BA18" s="313"/>
      <c r="BB18" s="313"/>
      <c r="BC18" s="313"/>
      <c r="BD18" s="313"/>
      <c r="BE18" s="313"/>
      <c r="BF18" s="313"/>
      <c r="BG18" s="313"/>
      <c r="BH18" s="313"/>
      <c r="BI18" s="138"/>
      <c r="BJ18" s="506">
        <f>+D18+F18+G18+H18+I18+K18+L18+M18+P18+Q18+S18+U18+W18+X18+Y18+AB18+AC18+AD18+AE18+AF18+AG18+AI18+AJ18+AK18+AL18+AT18+AM18+AN18+AQ18+AO18+AS18+AU18+O18+AV18+AX18+AR18+AW18+AY18+AZ18+BB18+BE18+BC18+BF18+BH18</f>
        <v>1378313</v>
      </c>
      <c r="BK18" s="473">
        <f t="shared" si="1"/>
        <v>0</v>
      </c>
      <c r="BL18" s="483">
        <f t="shared" si="4"/>
        <v>0</v>
      </c>
      <c r="BM18" s="475">
        <f t="shared" si="3"/>
        <v>1378313</v>
      </c>
    </row>
    <row r="19" spans="2:65" x14ac:dyDescent="0.15">
      <c r="B19" s="18">
        <v>17</v>
      </c>
      <c r="C19" s="272" t="str">
        <f>+Bioacem!C23</f>
        <v>M</v>
      </c>
      <c r="D19" s="86"/>
      <c r="E19" s="313"/>
      <c r="F19" s="313"/>
      <c r="G19" s="313"/>
      <c r="H19" s="313"/>
      <c r="I19" s="313"/>
      <c r="J19" s="313"/>
      <c r="K19" s="313"/>
      <c r="L19" s="313"/>
      <c r="M19" s="313"/>
      <c r="N19" s="313"/>
      <c r="O19" s="313"/>
      <c r="P19" s="313"/>
      <c r="Q19" s="313">
        <v>150000</v>
      </c>
      <c r="R19" s="313"/>
      <c r="S19" s="313"/>
      <c r="T19" s="313"/>
      <c r="U19" s="313"/>
      <c r="V19" s="313"/>
      <c r="W19" s="313"/>
      <c r="X19" s="313"/>
      <c r="Y19" s="313"/>
      <c r="Z19" s="313">
        <f>25000+50000+200000+40000+200000+40000+64027+60000+147899+70000+40000+28600+50000+15190+173021+18000</f>
        <v>1221737</v>
      </c>
      <c r="AA19" s="313"/>
      <c r="AB19" s="313"/>
      <c r="AC19" s="313"/>
      <c r="AD19" s="313"/>
      <c r="AE19" s="313"/>
      <c r="AF19" s="313"/>
      <c r="AG19" s="313"/>
      <c r="AH19" s="313"/>
      <c r="AI19" s="313"/>
      <c r="AJ19" s="313"/>
      <c r="AK19" s="313"/>
      <c r="AL19" s="313"/>
      <c r="AM19" s="313"/>
      <c r="AN19" s="313"/>
      <c r="AO19" s="313"/>
      <c r="AP19" s="313"/>
      <c r="AQ19" s="313"/>
      <c r="AR19" s="313"/>
      <c r="AS19" s="313"/>
      <c r="AT19" s="313"/>
      <c r="AU19" s="313"/>
      <c r="AV19" s="313"/>
      <c r="AW19" s="313"/>
      <c r="AX19" s="313"/>
      <c r="AY19" s="313"/>
      <c r="AZ19" s="313">
        <f>217924+133988+6687</f>
        <v>358599</v>
      </c>
      <c r="BA19" s="313"/>
      <c r="BB19" s="313"/>
      <c r="BC19" s="313"/>
      <c r="BD19" s="313"/>
      <c r="BE19" s="313"/>
      <c r="BF19" s="313"/>
      <c r="BG19" s="313"/>
      <c r="BH19" s="313">
        <v>606590</v>
      </c>
      <c r="BI19" s="138"/>
      <c r="BJ19" s="506">
        <f t="shared" ref="BJ19:BJ33" si="5">+D19+F19+G19+H19+I19+K19+L19+M19+P19+Q19+S19+U19+W19+X19+Y19+AB19+AC19+AD19+AE19+AF19+AG19+AI19+AJ19+AK19+AL19+AT19+AM19+AN19+AQ19+AO19+AS19+AU19+O19+AV19+AX19+AR19+AW19+AY19+AZ19+BB19+BE19+BC19+BF19+BH19</f>
        <v>1115189</v>
      </c>
      <c r="BK19" s="473">
        <f t="shared" si="1"/>
        <v>0</v>
      </c>
      <c r="BL19" s="483">
        <f t="shared" si="4"/>
        <v>0</v>
      </c>
      <c r="BM19" s="475">
        <f t="shared" si="3"/>
        <v>1115189</v>
      </c>
    </row>
    <row r="20" spans="2:65" x14ac:dyDescent="0.15">
      <c r="B20" s="18">
        <v>18</v>
      </c>
      <c r="C20" s="272" t="str">
        <f>+Bioacem!C24</f>
        <v>M</v>
      </c>
      <c r="D20" s="86"/>
      <c r="E20" s="313"/>
      <c r="F20" s="313"/>
      <c r="G20" s="313"/>
      <c r="H20" s="313"/>
      <c r="I20" s="313"/>
      <c r="J20" s="313"/>
      <c r="K20" s="313"/>
      <c r="L20" s="313"/>
      <c r="M20" s="313"/>
      <c r="N20" s="313"/>
      <c r="O20" s="313"/>
      <c r="P20" s="313"/>
      <c r="Q20" s="313"/>
      <c r="R20" s="313">
        <v>92400</v>
      </c>
      <c r="S20" s="313"/>
      <c r="T20" s="313"/>
      <c r="U20" s="313"/>
      <c r="V20" s="313"/>
      <c r="W20" s="313"/>
      <c r="X20" s="313"/>
      <c r="Y20" s="313"/>
      <c r="Z20" s="313">
        <f>300000+41616+30000+50000+75950+50100+271000+100000+70000+100000+350000+90000+50000+10000+100000+124378+30000+80000+30000+100000+290000</f>
        <v>2343044</v>
      </c>
      <c r="AA20" s="313"/>
      <c r="AB20" s="313"/>
      <c r="AC20" s="313"/>
      <c r="AD20" s="313"/>
      <c r="AE20" s="313"/>
      <c r="AF20" s="313"/>
      <c r="AG20" s="313"/>
      <c r="AH20" s="313"/>
      <c r="AI20" s="313"/>
      <c r="AJ20" s="313"/>
      <c r="AK20" s="313"/>
      <c r="AL20" s="313"/>
      <c r="AM20" s="313">
        <v>68381</v>
      </c>
      <c r="AN20" s="313"/>
      <c r="AO20" s="313"/>
      <c r="AP20" s="313"/>
      <c r="AQ20" s="313"/>
      <c r="AR20" s="313"/>
      <c r="AS20" s="313"/>
      <c r="AT20" s="313"/>
      <c r="AU20" s="313"/>
      <c r="AV20" s="313"/>
      <c r="AW20" s="313"/>
      <c r="AX20" s="313"/>
      <c r="AY20" s="313"/>
      <c r="AZ20" s="313">
        <f>185008+255270+77207</f>
        <v>517485</v>
      </c>
      <c r="BA20" s="313">
        <v>15400</v>
      </c>
      <c r="BB20" s="313"/>
      <c r="BC20" s="313"/>
      <c r="BD20" s="313"/>
      <c r="BE20" s="313"/>
      <c r="BF20" s="313"/>
      <c r="BG20" s="313"/>
      <c r="BH20" s="313"/>
      <c r="BI20" s="138"/>
      <c r="BJ20" s="506">
        <f t="shared" si="5"/>
        <v>585866</v>
      </c>
      <c r="BK20" s="473">
        <f t="shared" si="1"/>
        <v>107800</v>
      </c>
      <c r="BL20" s="483">
        <f t="shared" si="4"/>
        <v>0</v>
      </c>
      <c r="BM20" s="475">
        <f t="shared" si="3"/>
        <v>693666</v>
      </c>
    </row>
    <row r="21" spans="2:65" x14ac:dyDescent="0.15">
      <c r="B21" s="18">
        <v>19</v>
      </c>
      <c r="C21" s="272" t="str">
        <f>+Bioacem!C25</f>
        <v>J</v>
      </c>
      <c r="D21" s="86"/>
      <c r="E21" s="313"/>
      <c r="F21" s="313"/>
      <c r="G21" s="313"/>
      <c r="H21" s="313"/>
      <c r="I21" s="313"/>
      <c r="J21" s="313"/>
      <c r="K21" s="313"/>
      <c r="L21" s="313"/>
      <c r="M21" s="313"/>
      <c r="N21" s="313"/>
      <c r="O21" s="313"/>
      <c r="P21" s="313"/>
      <c r="Q21" s="313"/>
      <c r="R21" s="313"/>
      <c r="S21" s="313"/>
      <c r="T21" s="313"/>
      <c r="U21" s="313"/>
      <c r="V21" s="313"/>
      <c r="W21" s="313"/>
      <c r="X21" s="313"/>
      <c r="Y21" s="313"/>
      <c r="Z21" s="313">
        <f>50000+20000+20000+15000+25000+40000+30000+100000+15000+100000+188813+150000+145000+59071+34952+26461+40000+121520+20000+10000+40000+70000+125191+100000</f>
        <v>1546008</v>
      </c>
      <c r="AA21" s="313"/>
      <c r="AB21" s="313"/>
      <c r="AC21" s="313"/>
      <c r="AD21" s="313"/>
      <c r="AE21" s="313"/>
      <c r="AF21" s="313"/>
      <c r="AG21" s="313"/>
      <c r="AH21" s="313"/>
      <c r="AI21" s="313"/>
      <c r="AJ21" s="313"/>
      <c r="AK21" s="313"/>
      <c r="AL21" s="313"/>
      <c r="AM21" s="313"/>
      <c r="AN21" s="313"/>
      <c r="AO21" s="313"/>
      <c r="AP21" s="313"/>
      <c r="AQ21" s="313"/>
      <c r="AR21" s="313"/>
      <c r="AS21" s="313"/>
      <c r="AT21" s="313"/>
      <c r="AU21" s="313"/>
      <c r="AV21" s="313"/>
      <c r="AW21" s="313"/>
      <c r="AX21" s="313"/>
      <c r="AY21" s="313"/>
      <c r="AZ21" s="313">
        <f>110477+160892</f>
        <v>271369</v>
      </c>
      <c r="BA21" s="313"/>
      <c r="BB21" s="313"/>
      <c r="BC21" s="313"/>
      <c r="BD21" s="313"/>
      <c r="BE21" s="313">
        <v>99540</v>
      </c>
      <c r="BF21" s="313"/>
      <c r="BG21" s="313"/>
      <c r="BH21" s="313"/>
      <c r="BI21" s="138"/>
      <c r="BJ21" s="506">
        <f t="shared" si="5"/>
        <v>370909</v>
      </c>
      <c r="BK21" s="473">
        <f>+R21+N21+J21+E21+AP21+AH21+BA21+BD21+T21+AA21+BI21</f>
        <v>0</v>
      </c>
      <c r="BL21" s="483">
        <f t="shared" si="4"/>
        <v>0</v>
      </c>
      <c r="BM21" s="475">
        <f t="shared" si="3"/>
        <v>370909</v>
      </c>
    </row>
    <row r="22" spans="2:65" ht="12.5" customHeight="1" x14ac:dyDescent="0.15">
      <c r="B22" s="18">
        <v>20</v>
      </c>
      <c r="C22" s="272" t="str">
        <f>+Bioacem!C26</f>
        <v>V</v>
      </c>
      <c r="D22" s="86"/>
      <c r="E22" s="313"/>
      <c r="F22" s="313"/>
      <c r="G22" s="313"/>
      <c r="H22" s="313"/>
      <c r="I22" s="313"/>
      <c r="J22" s="313"/>
      <c r="K22" s="313"/>
      <c r="L22" s="313"/>
      <c r="M22" s="313"/>
      <c r="N22" s="313"/>
      <c r="O22" s="313"/>
      <c r="P22" s="313"/>
      <c r="Q22" s="313"/>
      <c r="R22" s="313"/>
      <c r="S22" s="313"/>
      <c r="T22" s="313"/>
      <c r="U22" s="313"/>
      <c r="V22" s="313"/>
      <c r="W22" s="313"/>
      <c r="X22" s="313"/>
      <c r="Y22" s="313"/>
      <c r="Z22" s="313">
        <f>978250+5500+50000+15190+30000+250000+18836+30000+31747+247260+30000+40000</f>
        <v>1726783</v>
      </c>
      <c r="AA22" s="313"/>
      <c r="AB22" s="313"/>
      <c r="AC22" s="313"/>
      <c r="AD22" s="313"/>
      <c r="AE22" s="313"/>
      <c r="AF22" s="313"/>
      <c r="AG22" s="313"/>
      <c r="AH22" s="313"/>
      <c r="AI22" s="313"/>
      <c r="AJ22" s="313"/>
      <c r="AK22" s="313"/>
      <c r="AL22" s="313">
        <v>211055</v>
      </c>
      <c r="AM22" s="313"/>
      <c r="AN22" s="313"/>
      <c r="AO22" s="313"/>
      <c r="AP22" s="313"/>
      <c r="AQ22" s="313"/>
      <c r="AR22" s="313"/>
      <c r="AS22" s="313"/>
      <c r="AT22" s="313"/>
      <c r="AU22" s="313"/>
      <c r="AV22" s="313"/>
      <c r="AW22" s="313"/>
      <c r="AX22" s="313"/>
      <c r="AY22" s="313"/>
      <c r="AZ22" s="313">
        <f>387634+281091+172505+124281+377658+213784+193694+131010</f>
        <v>1881657</v>
      </c>
      <c r="BA22" s="313"/>
      <c r="BB22" s="313"/>
      <c r="BC22" s="313"/>
      <c r="BD22" s="313"/>
      <c r="BE22" s="313"/>
      <c r="BF22" s="313"/>
      <c r="BG22" s="313"/>
      <c r="BH22" s="313"/>
      <c r="BI22" s="138"/>
      <c r="BJ22" s="506">
        <f t="shared" si="5"/>
        <v>2092712</v>
      </c>
      <c r="BK22" s="473">
        <f t="shared" ref="BK22:BK33" si="6">+R22+N22+J22+E22+AP22+AH22+BA22+BD22+T22+AA22+BI22</f>
        <v>0</v>
      </c>
      <c r="BL22" s="483">
        <f t="shared" si="4"/>
        <v>0</v>
      </c>
      <c r="BM22" s="475">
        <f t="shared" si="3"/>
        <v>2092712</v>
      </c>
    </row>
    <row r="23" spans="2:65" x14ac:dyDescent="0.15">
      <c r="B23" s="18">
        <v>21</v>
      </c>
      <c r="C23" s="272" t="str">
        <f>+Bioacem!C27</f>
        <v>S</v>
      </c>
      <c r="D23" s="86"/>
      <c r="E23" s="313"/>
      <c r="F23" s="313"/>
      <c r="G23" s="313"/>
      <c r="H23" s="313"/>
      <c r="I23" s="313"/>
      <c r="J23" s="313"/>
      <c r="K23" s="313"/>
      <c r="L23" s="313"/>
      <c r="M23" s="313"/>
      <c r="N23" s="313"/>
      <c r="O23" s="313"/>
      <c r="P23" s="313"/>
      <c r="Q23" s="313"/>
      <c r="R23" s="313"/>
      <c r="S23" s="313"/>
      <c r="T23" s="313"/>
      <c r="U23" s="313"/>
      <c r="V23" s="313"/>
      <c r="W23" s="313"/>
      <c r="X23" s="313"/>
      <c r="Y23" s="313"/>
      <c r="Z23" s="313">
        <f>30380+30000+100000+100000+50000+10000+50000+30000+30000+20000+100000+150000+50000+43000+20000+17000</f>
        <v>830380</v>
      </c>
      <c r="AA23" s="313"/>
      <c r="AB23" s="313"/>
      <c r="AC23" s="313"/>
      <c r="AD23" s="313"/>
      <c r="AE23" s="313"/>
      <c r="AF23" s="313"/>
      <c r="AG23" s="313"/>
      <c r="AH23" s="313"/>
      <c r="AI23" s="313"/>
      <c r="AJ23" s="313"/>
      <c r="AK23" s="313"/>
      <c r="AL23" s="313"/>
      <c r="AM23" s="313"/>
      <c r="AN23" s="313"/>
      <c r="AO23" s="313"/>
      <c r="AP23" s="313"/>
      <c r="AQ23" s="313"/>
      <c r="AR23" s="313"/>
      <c r="AS23" s="313"/>
      <c r="AT23" s="313"/>
      <c r="AU23" s="313"/>
      <c r="AV23" s="313"/>
      <c r="AW23" s="313"/>
      <c r="AX23" s="313"/>
      <c r="AY23" s="313"/>
      <c r="AZ23" s="313">
        <f>79679+304515</f>
        <v>384194</v>
      </c>
      <c r="BA23" s="313"/>
      <c r="BB23" s="313"/>
      <c r="BC23" s="313"/>
      <c r="BD23" s="313"/>
      <c r="BE23" s="313"/>
      <c r="BF23" s="313"/>
      <c r="BG23" s="313"/>
      <c r="BH23" s="313"/>
      <c r="BI23" s="138"/>
      <c r="BJ23" s="506">
        <f t="shared" si="5"/>
        <v>384194</v>
      </c>
      <c r="BK23" s="473">
        <f t="shared" si="6"/>
        <v>0</v>
      </c>
      <c r="BL23" s="483">
        <f t="shared" si="4"/>
        <v>0</v>
      </c>
      <c r="BM23" s="475">
        <f t="shared" si="3"/>
        <v>384194</v>
      </c>
    </row>
    <row r="24" spans="2:65" x14ac:dyDescent="0.15">
      <c r="B24" s="18">
        <v>22</v>
      </c>
      <c r="C24" s="272" t="str">
        <f>+Bioacem!C28</f>
        <v>D</v>
      </c>
      <c r="D24" s="86"/>
      <c r="E24" s="313"/>
      <c r="F24" s="313"/>
      <c r="G24" s="313"/>
      <c r="H24" s="313"/>
      <c r="I24" s="313"/>
      <c r="J24" s="313"/>
      <c r="K24" s="313"/>
      <c r="L24" s="313"/>
      <c r="M24" s="76"/>
      <c r="N24" s="76"/>
      <c r="O24" s="76"/>
      <c r="P24" s="313"/>
      <c r="Q24" s="313"/>
      <c r="R24" s="313"/>
      <c r="S24" s="313"/>
      <c r="T24" s="313"/>
      <c r="U24" s="313"/>
      <c r="V24" s="313"/>
      <c r="W24" s="313"/>
      <c r="X24" s="313"/>
      <c r="Y24" s="313"/>
      <c r="Z24" s="313">
        <f>11350+40000+14300+60000+10000+10000+40000+30577+100000+30050</f>
        <v>346277</v>
      </c>
      <c r="AA24" s="313"/>
      <c r="AB24" s="313"/>
      <c r="AC24" s="313"/>
      <c r="AD24" s="313"/>
      <c r="AE24" s="313"/>
      <c r="AF24" s="313"/>
      <c r="AG24" s="313"/>
      <c r="AH24" s="313"/>
      <c r="AI24" s="313"/>
      <c r="AJ24" s="313"/>
      <c r="AK24" s="313"/>
      <c r="AL24" s="313"/>
      <c r="AM24" s="313"/>
      <c r="AN24" s="313"/>
      <c r="AO24" s="313"/>
      <c r="AP24" s="313"/>
      <c r="AQ24" s="313"/>
      <c r="AR24" s="313"/>
      <c r="AS24" s="313"/>
      <c r="AT24" s="313"/>
      <c r="AU24" s="313"/>
      <c r="AV24" s="313"/>
      <c r="AW24" s="313"/>
      <c r="AX24" s="313"/>
      <c r="AY24" s="313"/>
      <c r="AZ24" s="313"/>
      <c r="BA24" s="313"/>
      <c r="BB24" s="313"/>
      <c r="BC24" s="313"/>
      <c r="BD24" s="313"/>
      <c r="BE24" s="313">
        <v>166331</v>
      </c>
      <c r="BF24" s="313"/>
      <c r="BG24" s="313"/>
      <c r="BH24" s="313"/>
      <c r="BI24" s="138"/>
      <c r="BJ24" s="506">
        <f t="shared" si="5"/>
        <v>166331</v>
      </c>
      <c r="BK24" s="473">
        <f t="shared" si="6"/>
        <v>0</v>
      </c>
      <c r="BL24" s="483">
        <f t="shared" si="4"/>
        <v>0</v>
      </c>
      <c r="BM24" s="475">
        <f t="shared" si="3"/>
        <v>166331</v>
      </c>
    </row>
    <row r="25" spans="2:65" x14ac:dyDescent="0.15">
      <c r="B25" s="18">
        <v>23</v>
      </c>
      <c r="C25" s="272" t="str">
        <f>+Bioacem!C29</f>
        <v>L</v>
      </c>
      <c r="D25" s="86"/>
      <c r="E25" s="313"/>
      <c r="F25" s="313"/>
      <c r="G25" s="313"/>
      <c r="H25" s="313"/>
      <c r="I25" s="313"/>
      <c r="J25" s="313"/>
      <c r="K25" s="313"/>
      <c r="L25" s="313"/>
      <c r="M25" s="313"/>
      <c r="N25" s="313"/>
      <c r="O25" s="313"/>
      <c r="P25" s="313"/>
      <c r="Q25" s="313"/>
      <c r="R25" s="313"/>
      <c r="S25" s="313"/>
      <c r="T25" s="313"/>
      <c r="U25" s="313"/>
      <c r="V25" s="313"/>
      <c r="W25" s="313"/>
      <c r="X25" s="313"/>
      <c r="Y25" s="313"/>
      <c r="Z25" s="313">
        <f>100000+200000+81066+50000+164120+560000+50000+37785+50000+20000+10000+50000+30000+100000+20000+320000+40000+18000+75000</f>
        <v>1975971</v>
      </c>
      <c r="AA25" s="313"/>
      <c r="AB25" s="313"/>
      <c r="AC25" s="313"/>
      <c r="AD25" s="313"/>
      <c r="AE25" s="313"/>
      <c r="AF25" s="313"/>
      <c r="AG25" s="313"/>
      <c r="AH25" s="313"/>
      <c r="AI25" s="313"/>
      <c r="AJ25" s="313"/>
      <c r="AK25" s="313"/>
      <c r="AL25" s="313"/>
      <c r="AM25" s="313"/>
      <c r="AN25" s="313"/>
      <c r="AO25" s="313"/>
      <c r="AP25" s="313"/>
      <c r="AQ25" s="313"/>
      <c r="AR25" s="313"/>
      <c r="AS25" s="313"/>
      <c r="AT25" s="313"/>
      <c r="AU25" s="313"/>
      <c r="AV25" s="313"/>
      <c r="AW25" s="313"/>
      <c r="AX25" s="313"/>
      <c r="AY25" s="313"/>
      <c r="AZ25" s="313">
        <v>271405</v>
      </c>
      <c r="BA25" s="313"/>
      <c r="BB25" s="313"/>
      <c r="BC25" s="313"/>
      <c r="BD25" s="313"/>
      <c r="BE25" s="313"/>
      <c r="BF25" s="313"/>
      <c r="BG25" s="313"/>
      <c r="BH25" s="313"/>
      <c r="BI25" s="138"/>
      <c r="BJ25" s="506">
        <f t="shared" si="5"/>
        <v>271405</v>
      </c>
      <c r="BK25" s="473">
        <f t="shared" si="6"/>
        <v>0</v>
      </c>
      <c r="BL25" s="483">
        <f t="shared" si="4"/>
        <v>0</v>
      </c>
      <c r="BM25" s="475">
        <f t="shared" si="3"/>
        <v>271405</v>
      </c>
    </row>
    <row r="26" spans="2:65" x14ac:dyDescent="0.15">
      <c r="B26" s="18">
        <v>24</v>
      </c>
      <c r="C26" s="272" t="str">
        <f>+Bioacem!C30</f>
        <v>M</v>
      </c>
      <c r="D26" s="86"/>
      <c r="E26" s="313"/>
      <c r="F26" s="313"/>
      <c r="G26" s="313"/>
      <c r="H26" s="313"/>
      <c r="I26" s="313"/>
      <c r="J26" s="313"/>
      <c r="K26" s="313"/>
      <c r="L26" s="313"/>
      <c r="M26" s="313"/>
      <c r="N26" s="313"/>
      <c r="O26" s="313"/>
      <c r="P26" s="313"/>
      <c r="Q26" s="313"/>
      <c r="R26" s="313"/>
      <c r="S26" s="313"/>
      <c r="T26" s="313"/>
      <c r="U26" s="313"/>
      <c r="V26" s="313"/>
      <c r="W26" s="313"/>
      <c r="X26" s="313"/>
      <c r="Y26" s="313"/>
      <c r="Z26" s="313">
        <f>35000+100000+20000+20000+26100+38000+189300+38446+20000+30000+38051+350100+100000+33069+151900+20000+7656+30380+25000+220000+50000+450000</f>
        <v>1993002</v>
      </c>
      <c r="AA26" s="313"/>
      <c r="AB26" s="313"/>
      <c r="AC26" s="313"/>
      <c r="AD26" s="313"/>
      <c r="AE26" s="313"/>
      <c r="AF26" s="313"/>
      <c r="AG26" s="313"/>
      <c r="AH26" s="313"/>
      <c r="AI26" s="313"/>
      <c r="AJ26" s="313"/>
      <c r="AK26" s="313"/>
      <c r="AL26" s="313"/>
      <c r="AM26" s="313"/>
      <c r="AN26" s="313"/>
      <c r="AO26" s="313"/>
      <c r="AP26" s="313"/>
      <c r="AQ26" s="313">
        <v>220483</v>
      </c>
      <c r="AR26" s="313"/>
      <c r="AS26" s="313"/>
      <c r="AT26" s="313"/>
      <c r="AU26" s="313"/>
      <c r="AV26" s="313"/>
      <c r="AW26" s="313"/>
      <c r="AX26" s="313"/>
      <c r="AY26" s="313">
        <v>110158</v>
      </c>
      <c r="AZ26" s="313">
        <f>132268+193627+90092+110037</f>
        <v>526024</v>
      </c>
      <c r="BA26" s="313"/>
      <c r="BB26" s="313"/>
      <c r="BC26" s="313"/>
      <c r="BD26" s="313"/>
      <c r="BE26" s="313">
        <v>104067</v>
      </c>
      <c r="BF26" s="313"/>
      <c r="BG26" s="313"/>
      <c r="BH26" s="313">
        <v>480751</v>
      </c>
      <c r="BI26" s="138"/>
      <c r="BJ26" s="506">
        <f t="shared" si="5"/>
        <v>1441483</v>
      </c>
      <c r="BK26" s="473">
        <f t="shared" si="6"/>
        <v>0</v>
      </c>
      <c r="BL26" s="483">
        <f t="shared" si="4"/>
        <v>0</v>
      </c>
      <c r="BM26" s="475">
        <f t="shared" si="3"/>
        <v>1441483</v>
      </c>
    </row>
    <row r="27" spans="2:65" x14ac:dyDescent="0.15">
      <c r="B27" s="18">
        <v>25</v>
      </c>
      <c r="C27" s="272" t="str">
        <f>+Bioacem!C31</f>
        <v>M</v>
      </c>
      <c r="D27" s="86"/>
      <c r="E27" s="313"/>
      <c r="F27" s="313"/>
      <c r="G27" s="313"/>
      <c r="H27" s="313"/>
      <c r="I27" s="313"/>
      <c r="J27" s="313"/>
      <c r="K27" s="313"/>
      <c r="L27" s="313"/>
      <c r="M27" s="313"/>
      <c r="N27" s="313"/>
      <c r="O27" s="313"/>
      <c r="P27" s="313"/>
      <c r="Q27" s="313"/>
      <c r="R27" s="313"/>
      <c r="S27" s="313"/>
      <c r="T27" s="313"/>
      <c r="U27" s="313"/>
      <c r="V27" s="313"/>
      <c r="W27" s="313"/>
      <c r="X27" s="313"/>
      <c r="Y27" s="313"/>
      <c r="Z27" s="313">
        <f>50000+34056+30000+24500+20000+25000+12000+50000+20000+29300+27950+35000+20000+26051+20000+36700</f>
        <v>460557</v>
      </c>
      <c r="AA27" s="313"/>
      <c r="AB27" s="313"/>
      <c r="AC27" s="313"/>
      <c r="AD27" s="313"/>
      <c r="AE27" s="313"/>
      <c r="AF27" s="313"/>
      <c r="AG27" s="313"/>
      <c r="AH27" s="313"/>
      <c r="AI27" s="313"/>
      <c r="AJ27" s="313"/>
      <c r="AK27" s="313"/>
      <c r="AL27" s="313"/>
      <c r="AM27" s="313"/>
      <c r="AN27" s="313"/>
      <c r="AO27" s="313"/>
      <c r="AP27" s="313"/>
      <c r="AQ27" s="313"/>
      <c r="AR27" s="313"/>
      <c r="AS27" s="313"/>
      <c r="AT27" s="313"/>
      <c r="AU27" s="313"/>
      <c r="AV27" s="313"/>
      <c r="AW27" s="313"/>
      <c r="AX27" s="313"/>
      <c r="AY27" s="313"/>
      <c r="AZ27" s="313">
        <f>191382+198381</f>
        <v>389763</v>
      </c>
      <c r="BA27" s="313">
        <f>38500+30800</f>
        <v>69300</v>
      </c>
      <c r="BB27" s="313"/>
      <c r="BC27" s="313"/>
      <c r="BD27" s="313"/>
      <c r="BE27" s="313"/>
      <c r="BF27" s="313"/>
      <c r="BG27" s="313"/>
      <c r="BH27" s="313"/>
      <c r="BI27" s="138"/>
      <c r="BJ27" s="506">
        <f t="shared" si="5"/>
        <v>389763</v>
      </c>
      <c r="BK27" s="473">
        <f t="shared" si="6"/>
        <v>69300</v>
      </c>
      <c r="BL27" s="483">
        <f t="shared" si="4"/>
        <v>0</v>
      </c>
      <c r="BM27" s="475">
        <f t="shared" si="3"/>
        <v>459063</v>
      </c>
    </row>
    <row r="28" spans="2:65" x14ac:dyDescent="0.15">
      <c r="B28" s="18">
        <v>26</v>
      </c>
      <c r="C28" s="272" t="str">
        <f>+Bioacem!C32</f>
        <v>J</v>
      </c>
      <c r="D28" s="86"/>
      <c r="E28" s="313"/>
      <c r="F28" s="313"/>
      <c r="G28" s="313"/>
      <c r="H28" s="313"/>
      <c r="I28" s="313"/>
      <c r="J28" s="313"/>
      <c r="K28" s="313"/>
      <c r="L28" s="313"/>
      <c r="M28" s="313"/>
      <c r="N28" s="313"/>
      <c r="O28" s="313"/>
      <c r="P28" s="313"/>
      <c r="Q28" s="313">
        <v>300000</v>
      </c>
      <c r="R28" s="313"/>
      <c r="S28" s="313"/>
      <c r="T28" s="313"/>
      <c r="U28" s="430"/>
      <c r="V28" s="313"/>
      <c r="W28" s="313"/>
      <c r="X28" s="313"/>
      <c r="Y28" s="313"/>
      <c r="Z28" s="313">
        <f>200000+12000+10000+50000+10830+190000+70000+100000+27813+60750+26111+200000+500000+20000+80000+25000+45175+30000+10000</f>
        <v>1667679</v>
      </c>
      <c r="AA28" s="313"/>
      <c r="AB28" s="313"/>
      <c r="AC28" s="313"/>
      <c r="AD28" s="313"/>
      <c r="AE28" s="313"/>
      <c r="AF28" s="313"/>
      <c r="AG28" s="313"/>
      <c r="AH28" s="313"/>
      <c r="AI28" s="313"/>
      <c r="AJ28" s="313"/>
      <c r="AK28" s="313"/>
      <c r="AL28" s="313"/>
      <c r="AM28" s="313"/>
      <c r="AN28" s="313"/>
      <c r="AO28" s="313"/>
      <c r="AP28" s="313"/>
      <c r="AQ28" s="313"/>
      <c r="AR28" s="313"/>
      <c r="AS28" s="313"/>
      <c r="AT28" s="313"/>
      <c r="AU28" s="313"/>
      <c r="AV28" s="313"/>
      <c r="AW28" s="313"/>
      <c r="AX28" s="313"/>
      <c r="AY28" s="313"/>
      <c r="AZ28" s="313">
        <f>368123+318404+262891+154087</f>
        <v>1103505</v>
      </c>
      <c r="BA28" s="313"/>
      <c r="BB28" s="313"/>
      <c r="BC28" s="313"/>
      <c r="BD28" s="313"/>
      <c r="BE28" s="313"/>
      <c r="BF28" s="313"/>
      <c r="BG28" s="313"/>
      <c r="BH28" s="313"/>
      <c r="BI28" s="138"/>
      <c r="BJ28" s="506">
        <f t="shared" si="5"/>
        <v>1403505</v>
      </c>
      <c r="BK28" s="473">
        <f t="shared" si="6"/>
        <v>0</v>
      </c>
      <c r="BL28" s="483">
        <f t="shared" si="4"/>
        <v>0</v>
      </c>
      <c r="BM28" s="475">
        <f t="shared" si="3"/>
        <v>1403505</v>
      </c>
    </row>
    <row r="29" spans="2:65" x14ac:dyDescent="0.15">
      <c r="B29" s="18">
        <v>27</v>
      </c>
      <c r="C29" s="272" t="str">
        <f>+Bioacem!C33</f>
        <v>V</v>
      </c>
      <c r="D29" s="86"/>
      <c r="E29" s="313"/>
      <c r="F29" s="313"/>
      <c r="G29" s="313"/>
      <c r="H29" s="313"/>
      <c r="I29" s="313"/>
      <c r="J29" s="313"/>
      <c r="K29" s="313"/>
      <c r="L29" s="313"/>
      <c r="M29" s="313"/>
      <c r="N29" s="313"/>
      <c r="O29" s="313"/>
      <c r="P29" s="313"/>
      <c r="Q29" s="313">
        <v>325929</v>
      </c>
      <c r="R29" s="313"/>
      <c r="S29" s="313"/>
      <c r="T29" s="313"/>
      <c r="U29" s="313"/>
      <c r="V29" s="313"/>
      <c r="W29" s="313"/>
      <c r="X29" s="313"/>
      <c r="Y29" s="313"/>
      <c r="Z29" s="313">
        <f>47000+37307+1000000+20000+30000+368026+400000+43065+20000+47900+100000+25000+15000+100000+297700+30836+16694+46816+30000+5000+100000+12000</f>
        <v>2792344</v>
      </c>
      <c r="AA29" s="313"/>
      <c r="AB29" s="313"/>
      <c r="AC29" s="313"/>
      <c r="AD29" s="313"/>
      <c r="AE29" s="313"/>
      <c r="AF29" s="313"/>
      <c r="AG29" s="313"/>
      <c r="AH29" s="313"/>
      <c r="AI29" s="313"/>
      <c r="AJ29" s="313"/>
      <c r="AK29" s="313"/>
      <c r="AL29" s="313"/>
      <c r="AM29" s="313"/>
      <c r="AN29" s="313"/>
      <c r="AO29" s="313"/>
      <c r="AP29" s="313"/>
      <c r="AQ29" s="313"/>
      <c r="AR29" s="313"/>
      <c r="AS29" s="313"/>
      <c r="AT29" s="313"/>
      <c r="AU29" s="313"/>
      <c r="AV29" s="313"/>
      <c r="AW29" s="313"/>
      <c r="AX29" s="313"/>
      <c r="AY29" s="313"/>
      <c r="AZ29" s="313">
        <f>433021+80674+137202+168603</f>
        <v>819500</v>
      </c>
      <c r="BA29" s="313"/>
      <c r="BB29" s="313"/>
      <c r="BC29" s="313"/>
      <c r="BD29" s="313"/>
      <c r="BE29" s="313">
        <v>108776</v>
      </c>
      <c r="BF29" s="313"/>
      <c r="BG29" s="313"/>
      <c r="BH29" s="313"/>
      <c r="BI29" s="138"/>
      <c r="BJ29" s="506">
        <f t="shared" si="5"/>
        <v>1254205</v>
      </c>
      <c r="BK29" s="473">
        <f t="shared" si="6"/>
        <v>0</v>
      </c>
      <c r="BL29" s="483">
        <f t="shared" si="4"/>
        <v>0</v>
      </c>
      <c r="BM29" s="475">
        <f t="shared" si="3"/>
        <v>1254205</v>
      </c>
    </row>
    <row r="30" spans="2:65" x14ac:dyDescent="0.15">
      <c r="B30" s="18">
        <v>28</v>
      </c>
      <c r="C30" s="272" t="str">
        <f>+Bioacem!C34</f>
        <v>S</v>
      </c>
      <c r="D30" s="86"/>
      <c r="E30" s="313">
        <v>50050</v>
      </c>
      <c r="F30" s="313"/>
      <c r="G30" s="313"/>
      <c r="H30" s="313"/>
      <c r="I30" s="313"/>
      <c r="J30" s="313"/>
      <c r="K30" s="313"/>
      <c r="L30" s="313"/>
      <c r="M30" s="313"/>
      <c r="N30" s="313"/>
      <c r="O30" s="313"/>
      <c r="P30" s="313"/>
      <c r="Q30" s="313"/>
      <c r="R30" s="313"/>
      <c r="S30" s="313"/>
      <c r="T30" s="313"/>
      <c r="U30" s="313"/>
      <c r="V30" s="313"/>
      <c r="W30" s="313"/>
      <c r="X30" s="313"/>
      <c r="Y30" s="313"/>
      <c r="Z30" s="313">
        <f>80000+20000+27400+11450+52656+15000+50000+20000+30000+122644+50000+100000+40000</f>
        <v>619150</v>
      </c>
      <c r="AA30" s="313"/>
      <c r="AB30" s="313"/>
      <c r="AC30" s="313"/>
      <c r="AD30" s="313"/>
      <c r="AE30" s="313"/>
      <c r="AF30" s="313"/>
      <c r="AG30" s="313"/>
      <c r="AH30" s="313"/>
      <c r="AI30" s="313"/>
      <c r="AJ30" s="313"/>
      <c r="AK30" s="313"/>
      <c r="AL30" s="313"/>
      <c r="AM30" s="313"/>
      <c r="AN30" s="313"/>
      <c r="AO30" s="313"/>
      <c r="AP30" s="313"/>
      <c r="AQ30" s="313"/>
      <c r="AR30" s="313"/>
      <c r="AS30" s="313"/>
      <c r="AT30" s="313"/>
      <c r="AU30" s="313"/>
      <c r="AV30" s="313"/>
      <c r="AW30" s="313"/>
      <c r="AX30" s="313"/>
      <c r="AY30" s="313"/>
      <c r="AZ30" s="313">
        <f>133934+204282+76809</f>
        <v>415025</v>
      </c>
      <c r="BA30" s="313">
        <v>46200</v>
      </c>
      <c r="BB30" s="313"/>
      <c r="BC30" s="313"/>
      <c r="BD30" s="313"/>
      <c r="BE30" s="313"/>
      <c r="BF30" s="313"/>
      <c r="BG30" s="313"/>
      <c r="BH30" s="313"/>
      <c r="BI30" s="138"/>
      <c r="BJ30" s="506">
        <f t="shared" si="5"/>
        <v>415025</v>
      </c>
      <c r="BK30" s="473">
        <f t="shared" si="6"/>
        <v>96250</v>
      </c>
      <c r="BL30" s="483">
        <f t="shared" si="4"/>
        <v>0</v>
      </c>
      <c r="BM30" s="475">
        <f t="shared" si="3"/>
        <v>511275</v>
      </c>
    </row>
    <row r="31" spans="2:65" x14ac:dyDescent="0.15">
      <c r="B31" s="18">
        <v>29</v>
      </c>
      <c r="C31" s="272" t="str">
        <f>+Bioacem!C35</f>
        <v>D</v>
      </c>
      <c r="D31" s="86"/>
      <c r="E31" s="313"/>
      <c r="F31" s="313"/>
      <c r="G31" s="313"/>
      <c r="H31" s="313"/>
      <c r="I31" s="313"/>
      <c r="J31" s="313"/>
      <c r="K31" s="313"/>
      <c r="L31" s="313"/>
      <c r="M31" s="313"/>
      <c r="N31" s="313"/>
      <c r="O31" s="313"/>
      <c r="P31" s="313"/>
      <c r="Q31" s="313"/>
      <c r="R31" s="313"/>
      <c r="S31" s="313"/>
      <c r="T31" s="313"/>
      <c r="U31" s="313"/>
      <c r="V31" s="313"/>
      <c r="W31" s="313"/>
      <c r="X31" s="313"/>
      <c r="Y31" s="313"/>
      <c r="Z31" s="313"/>
      <c r="AA31" s="313"/>
      <c r="AB31" s="313"/>
      <c r="AC31" s="313"/>
      <c r="AD31" s="313"/>
      <c r="AE31" s="313"/>
      <c r="AF31" s="313"/>
      <c r="AG31" s="313"/>
      <c r="AH31" s="313"/>
      <c r="AI31" s="313"/>
      <c r="AJ31" s="313"/>
      <c r="AK31" s="313"/>
      <c r="AL31" s="313"/>
      <c r="AM31" s="313"/>
      <c r="AN31" s="313"/>
      <c r="AO31" s="313"/>
      <c r="AP31" s="313"/>
      <c r="AQ31" s="313"/>
      <c r="AR31" s="313"/>
      <c r="AS31" s="313"/>
      <c r="AT31" s="313"/>
      <c r="AU31" s="313"/>
      <c r="AV31" s="313"/>
      <c r="AW31" s="313"/>
      <c r="AX31" s="313"/>
      <c r="AY31" s="313"/>
      <c r="AZ31" s="313"/>
      <c r="BA31" s="313"/>
      <c r="BB31" s="313"/>
      <c r="BC31" s="313"/>
      <c r="BD31" s="313"/>
      <c r="BE31" s="313"/>
      <c r="BF31" s="313"/>
      <c r="BG31" s="313"/>
      <c r="BH31" s="313"/>
      <c r="BI31" s="138"/>
      <c r="BJ31" s="506">
        <f t="shared" si="5"/>
        <v>0</v>
      </c>
      <c r="BK31" s="473">
        <f t="shared" si="6"/>
        <v>0</v>
      </c>
      <c r="BL31" s="483">
        <f t="shared" si="4"/>
        <v>0</v>
      </c>
      <c r="BM31" s="475">
        <f t="shared" si="3"/>
        <v>0</v>
      </c>
    </row>
    <row r="32" spans="2:65" x14ac:dyDescent="0.15">
      <c r="B32" s="18">
        <v>30</v>
      </c>
      <c r="C32" s="272" t="str">
        <f>+Bioacem!C36</f>
        <v>L</v>
      </c>
      <c r="D32" s="86"/>
      <c r="E32" s="313"/>
      <c r="F32" s="313"/>
      <c r="G32" s="313"/>
      <c r="H32" s="313"/>
      <c r="I32" s="313"/>
      <c r="J32" s="313"/>
      <c r="K32" s="313"/>
      <c r="L32" s="313"/>
      <c r="M32" s="313"/>
      <c r="N32" s="313"/>
      <c r="O32" s="313"/>
      <c r="P32" s="313"/>
      <c r="Q32" s="313"/>
      <c r="R32" s="313"/>
      <c r="S32" s="313"/>
      <c r="T32" s="313"/>
      <c r="U32" s="313"/>
      <c r="V32" s="313"/>
      <c r="W32" s="313"/>
      <c r="X32" s="313"/>
      <c r="Y32" s="313"/>
      <c r="Z32" s="313"/>
      <c r="AA32" s="313"/>
      <c r="AB32" s="313"/>
      <c r="AC32" s="313"/>
      <c r="AD32" s="313"/>
      <c r="AE32" s="313"/>
      <c r="AF32" s="313"/>
      <c r="AG32" s="313"/>
      <c r="AH32" s="313"/>
      <c r="AI32" s="313"/>
      <c r="AJ32" s="313"/>
      <c r="AK32" s="313"/>
      <c r="AL32" s="313"/>
      <c r="AM32" s="313"/>
      <c r="AN32" s="313"/>
      <c r="AO32" s="313"/>
      <c r="AP32" s="313"/>
      <c r="AQ32" s="313"/>
      <c r="AR32" s="313"/>
      <c r="AS32" s="313"/>
      <c r="AT32" s="313"/>
      <c r="AU32" s="313"/>
      <c r="AV32" s="313"/>
      <c r="AW32" s="313"/>
      <c r="AX32" s="313"/>
      <c r="AY32" s="313"/>
      <c r="AZ32" s="313"/>
      <c r="BA32" s="313"/>
      <c r="BB32" s="313"/>
      <c r="BC32" s="313"/>
      <c r="BD32" s="313"/>
      <c r="BE32" s="313"/>
      <c r="BF32" s="313"/>
      <c r="BG32" s="313"/>
      <c r="BH32" s="313"/>
      <c r="BI32" s="138"/>
      <c r="BJ32" s="506">
        <f t="shared" si="5"/>
        <v>0</v>
      </c>
      <c r="BK32" s="473">
        <f t="shared" si="6"/>
        <v>0</v>
      </c>
      <c r="BL32" s="484">
        <f t="shared" si="4"/>
        <v>0</v>
      </c>
      <c r="BM32" s="475">
        <f t="shared" si="3"/>
        <v>0</v>
      </c>
    </row>
    <row r="33" spans="2:65" ht="14" thickBot="1" x14ac:dyDescent="0.2">
      <c r="B33" s="19">
        <v>31</v>
      </c>
      <c r="C33" s="273" t="str">
        <f>+Bioacem!C37</f>
        <v>M</v>
      </c>
      <c r="D33" s="101"/>
      <c r="E33" s="314"/>
      <c r="F33" s="314"/>
      <c r="G33" s="314"/>
      <c r="H33" s="314"/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Y33" s="314"/>
      <c r="Z33" s="314"/>
      <c r="AA33" s="314"/>
      <c r="AB33" s="314"/>
      <c r="AC33" s="314"/>
      <c r="AD33" s="314"/>
      <c r="AE33" s="314"/>
      <c r="AF33" s="314"/>
      <c r="AG33" s="314"/>
      <c r="AH33" s="314"/>
      <c r="AI33" s="314"/>
      <c r="AJ33" s="314"/>
      <c r="AK33" s="314"/>
      <c r="AL33" s="314"/>
      <c r="AM33" s="314"/>
      <c r="AN33" s="314"/>
      <c r="AO33" s="314"/>
      <c r="AP33" s="314"/>
      <c r="AQ33" s="314"/>
      <c r="AR33" s="314"/>
      <c r="AS33" s="314"/>
      <c r="AT33" s="314"/>
      <c r="AU33" s="314"/>
      <c r="AV33" s="314"/>
      <c r="AW33" s="314"/>
      <c r="AX33" s="314"/>
      <c r="AY33" s="314"/>
      <c r="AZ33" s="314"/>
      <c r="BA33" s="314"/>
      <c r="BB33" s="314"/>
      <c r="BC33" s="314"/>
      <c r="BD33" s="314"/>
      <c r="BE33" s="314"/>
      <c r="BF33" s="314"/>
      <c r="BG33" s="314"/>
      <c r="BH33" s="314"/>
      <c r="BI33" s="287"/>
      <c r="BJ33" s="507">
        <f t="shared" si="5"/>
        <v>0</v>
      </c>
      <c r="BK33" s="474">
        <f t="shared" si="6"/>
        <v>0</v>
      </c>
      <c r="BL33" s="485">
        <f t="shared" si="4"/>
        <v>0</v>
      </c>
      <c r="BM33" s="476">
        <f t="shared" si="3"/>
        <v>0</v>
      </c>
    </row>
    <row r="34" spans="2:65" x14ac:dyDescent="0.15">
      <c r="D34" s="77"/>
      <c r="E34" s="77"/>
      <c r="BJ34" s="77">
        <f>SUM(BJ3:BJ33)</f>
        <v>27778990</v>
      </c>
    </row>
    <row r="35" spans="2:65" x14ac:dyDescent="0.15">
      <c r="D35" s="77"/>
      <c r="E35" s="77"/>
    </row>
    <row r="36" spans="2:65" x14ac:dyDescent="0.15">
      <c r="D36" s="77"/>
      <c r="E36" s="77"/>
    </row>
  </sheetData>
  <mergeCells count="1">
    <mergeCell ref="B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2291-89AA-44CE-B05D-ECE4D65DEEE5}">
  <dimension ref="B1:U36"/>
  <sheetViews>
    <sheetView zoomScale="120" zoomScaleNormal="120" workbookViewId="0">
      <selection activeCell="K40" sqref="K40"/>
    </sheetView>
  </sheetViews>
  <sheetFormatPr baseColWidth="10" defaultColWidth="10.83203125" defaultRowHeight="13" x14ac:dyDescent="0.15"/>
  <cols>
    <col min="1" max="1" width="2.83203125" customWidth="1"/>
    <col min="2" max="2" width="3" bestFit="1" customWidth="1"/>
    <col min="3" max="3" width="2.5" bestFit="1" customWidth="1"/>
    <col min="4" max="4" width="8.5" bestFit="1" customWidth="1"/>
    <col min="5" max="5" width="9.5" bestFit="1" customWidth="1"/>
    <col min="6" max="6" width="9.1640625" bestFit="1" customWidth="1"/>
    <col min="7" max="7" width="7.5" bestFit="1" customWidth="1"/>
    <col min="8" max="8" width="7.83203125" bestFit="1" customWidth="1"/>
    <col min="9" max="9" width="16.6640625" bestFit="1" customWidth="1"/>
    <col min="10" max="10" width="14" bestFit="1" customWidth="1"/>
    <col min="11" max="11" width="16.33203125" customWidth="1"/>
    <col min="12" max="12" width="16.6640625" customWidth="1"/>
    <col min="13" max="13" width="11.83203125" bestFit="1" customWidth="1"/>
    <col min="15" max="15" width="12" bestFit="1" customWidth="1"/>
    <col min="16" max="16" width="12" customWidth="1"/>
    <col min="17" max="17" width="15" bestFit="1" customWidth="1"/>
    <col min="18" max="18" width="11.6640625" bestFit="1" customWidth="1"/>
  </cols>
  <sheetData>
    <row r="1" spans="2:20" ht="14" thickBot="1" x14ac:dyDescent="0.2"/>
    <row r="2" spans="2:20" ht="14" thickBot="1" x14ac:dyDescent="0.2">
      <c r="B2" s="569" t="s">
        <v>1</v>
      </c>
      <c r="C2" s="578"/>
      <c r="D2" s="91" t="s">
        <v>108</v>
      </c>
      <c r="E2" s="92" t="s">
        <v>109</v>
      </c>
      <c r="F2" s="92" t="s">
        <v>110</v>
      </c>
      <c r="G2" s="321" t="s">
        <v>131</v>
      </c>
      <c r="H2" s="321" t="s">
        <v>142</v>
      </c>
      <c r="I2" s="292" t="s">
        <v>111</v>
      </c>
      <c r="J2" s="325" t="s">
        <v>132</v>
      </c>
      <c r="K2" s="325" t="s">
        <v>162</v>
      </c>
      <c r="L2" s="325" t="s">
        <v>17</v>
      </c>
      <c r="M2" s="299" t="s">
        <v>93</v>
      </c>
      <c r="N2" s="93" t="s">
        <v>112</v>
      </c>
      <c r="Q2" s="295" t="s">
        <v>111</v>
      </c>
      <c r="R2" s="296">
        <v>3850</v>
      </c>
    </row>
    <row r="3" spans="2:20" ht="14" thickBot="1" x14ac:dyDescent="0.2">
      <c r="B3" s="160">
        <v>31</v>
      </c>
      <c r="C3" s="300"/>
      <c r="D3" s="379"/>
      <c r="E3" s="378">
        <v>73281.2</v>
      </c>
      <c r="F3" s="294"/>
      <c r="G3" s="320"/>
      <c r="H3" s="320"/>
      <c r="I3" s="293"/>
      <c r="J3" s="322"/>
      <c r="K3" s="322"/>
      <c r="L3" s="322"/>
      <c r="M3" s="340">
        <v>1236.1000000000058</v>
      </c>
      <c r="N3" s="182"/>
      <c r="O3" s="77"/>
      <c r="P3" s="448"/>
      <c r="Q3" s="28" t="s">
        <v>170</v>
      </c>
      <c r="R3" s="106">
        <v>2950</v>
      </c>
      <c r="S3" s="404">
        <f>+R2-R3</f>
        <v>900</v>
      </c>
      <c r="T3" s="234">
        <f>+S3/R2</f>
        <v>0.23376623376623376</v>
      </c>
    </row>
    <row r="4" spans="2:20" x14ac:dyDescent="0.15">
      <c r="B4" s="23">
        <v>1</v>
      </c>
      <c r="C4" s="249" t="str">
        <f>+'G. Corriente'!C7</f>
        <v>D</v>
      </c>
      <c r="D4" s="380">
        <f>+E3</f>
        <v>73281.2</v>
      </c>
      <c r="E4" s="377">
        <v>73307.199999999997</v>
      </c>
      <c r="F4" s="179">
        <f>+E4-D4</f>
        <v>26</v>
      </c>
      <c r="G4" s="351">
        <f>+Cierre!N3/$R$2</f>
        <v>20.23896103896104</v>
      </c>
      <c r="H4" s="351">
        <f>+Cierre!AH3/$R$2</f>
        <v>0</v>
      </c>
      <c r="I4" s="497">
        <f>+(F4-G4-H4)*$R$2</f>
        <v>22179.999999999996</v>
      </c>
      <c r="J4" s="323">
        <f>+G4*$R$2</f>
        <v>77920</v>
      </c>
      <c r="K4" s="323">
        <f>+H4*$R$2</f>
        <v>0</v>
      </c>
      <c r="L4" s="323">
        <f>+I4+J4+K4</f>
        <v>100100</v>
      </c>
      <c r="M4" s="343">
        <f>+M3+N3-F4</f>
        <v>1210.1000000000058</v>
      </c>
      <c r="N4" s="185"/>
      <c r="O4" s="77">
        <v>22400</v>
      </c>
      <c r="P4" s="77">
        <f>+O4</f>
        <v>22400</v>
      </c>
      <c r="R4" s="77">
        <f>+P4+[1]Urea!$P$34</f>
        <v>1122900</v>
      </c>
    </row>
    <row r="5" spans="2:20" x14ac:dyDescent="0.15">
      <c r="B5" s="18">
        <v>2</v>
      </c>
      <c r="C5" s="272" t="str">
        <f>+'G. Corriente'!C8</f>
        <v>L</v>
      </c>
      <c r="D5" s="120">
        <f>+E4</f>
        <v>73307.199999999997</v>
      </c>
      <c r="E5" s="306">
        <v>73429.3</v>
      </c>
      <c r="F5" s="381">
        <f>+E5-D5</f>
        <v>122.10000000000582</v>
      </c>
      <c r="G5" s="382">
        <f>+Cierre!N4/$R$2</f>
        <v>21.31012987012987</v>
      </c>
      <c r="H5" s="341">
        <f>+Cierre!AH4/$R$2</f>
        <v>0</v>
      </c>
      <c r="I5" s="301">
        <f>+(F5-G5-H5)*$R$2</f>
        <v>388041.00000002241</v>
      </c>
      <c r="J5" s="324">
        <f t="shared" ref="J5:J34" si="0">+G5*$R$2</f>
        <v>82044</v>
      </c>
      <c r="K5" s="324">
        <f t="shared" ref="K5:K34" si="1">+H5*$R$2</f>
        <v>0</v>
      </c>
      <c r="L5" s="324">
        <f t="shared" ref="L5:L34" si="2">+I5+J5+K5</f>
        <v>470085.00000002241</v>
      </c>
      <c r="M5" s="303">
        <f t="shared" ref="M5:M33" si="3">+M4+N4-F5</f>
        <v>1088</v>
      </c>
      <c r="N5" s="181"/>
      <c r="O5" s="77">
        <v>388300</v>
      </c>
      <c r="P5" s="77"/>
    </row>
    <row r="6" spans="2:20" x14ac:dyDescent="0.15">
      <c r="B6" s="18">
        <v>3</v>
      </c>
      <c r="C6" s="272" t="str">
        <f>+'G. Corriente'!C9</f>
        <v>M</v>
      </c>
      <c r="D6" s="120">
        <f t="shared" ref="D6:D17" si="4">+E5</f>
        <v>73429.3</v>
      </c>
      <c r="E6" s="306">
        <v>73579.399999999994</v>
      </c>
      <c r="F6" s="328">
        <f>+E6-D6</f>
        <v>150.09999999999127</v>
      </c>
      <c r="G6" s="341">
        <f>+Cierre!N5/$R$2</f>
        <v>84.776883116883113</v>
      </c>
      <c r="H6" s="341">
        <f>+Cierre!AH5/$R$2</f>
        <v>0</v>
      </c>
      <c r="I6" s="301">
        <f t="shared" ref="I6:I34" si="5">+(F6-G6-H6)*$R$2</f>
        <v>251493.99999996641</v>
      </c>
      <c r="J6" s="324">
        <f>+G6*$R$2</f>
        <v>326391</v>
      </c>
      <c r="K6" s="324">
        <f t="shared" si="1"/>
        <v>0</v>
      </c>
      <c r="L6" s="324">
        <f>+I6+J6+K6</f>
        <v>577884.99999996647</v>
      </c>
      <c r="M6" s="303">
        <f t="shared" si="3"/>
        <v>937.90000000000873</v>
      </c>
      <c r="N6" s="181"/>
      <c r="O6" s="77">
        <v>251600</v>
      </c>
      <c r="P6" s="77"/>
    </row>
    <row r="7" spans="2:20" x14ac:dyDescent="0.15">
      <c r="B7" s="18">
        <v>4</v>
      </c>
      <c r="C7" s="272" t="str">
        <f>+'G. Corriente'!C10</f>
        <v>M</v>
      </c>
      <c r="D7" s="380">
        <f t="shared" si="4"/>
        <v>73579.399999999994</v>
      </c>
      <c r="E7" s="305">
        <v>73702.3</v>
      </c>
      <c r="F7" s="137">
        <f>+E7-D7</f>
        <v>122.90000000000873</v>
      </c>
      <c r="G7" s="341">
        <f>+Cierre!N6/$R$2</f>
        <v>18</v>
      </c>
      <c r="H7" s="341">
        <f>+Cierre!AH6/$R$2</f>
        <v>0</v>
      </c>
      <c r="I7" s="301">
        <f>+(F7-G7-H7)*$R$2</f>
        <v>403865.00000003364</v>
      </c>
      <c r="J7" s="324">
        <f>+G7*$R$2</f>
        <v>69300</v>
      </c>
      <c r="K7" s="324">
        <f t="shared" si="1"/>
        <v>0</v>
      </c>
      <c r="L7" s="324">
        <f>+I7+J7+K7</f>
        <v>473165.00000003364</v>
      </c>
      <c r="M7" s="303">
        <f t="shared" si="3"/>
        <v>815</v>
      </c>
      <c r="N7" s="181"/>
      <c r="O7" s="77">
        <v>403950</v>
      </c>
      <c r="P7" s="77"/>
      <c r="R7" s="353"/>
    </row>
    <row r="8" spans="2:20" x14ac:dyDescent="0.15">
      <c r="B8" s="18">
        <v>5</v>
      </c>
      <c r="C8" s="272" t="str">
        <f>+'G. Corriente'!C11</f>
        <v>J</v>
      </c>
      <c r="D8" s="120">
        <f t="shared" si="4"/>
        <v>73702.3</v>
      </c>
      <c r="E8" s="306">
        <v>73842.899999999994</v>
      </c>
      <c r="F8" s="137">
        <f t="shared" ref="F8:F34" si="6">+E8-D8</f>
        <v>140.59999999999127</v>
      </c>
      <c r="G8" s="341">
        <f>+Cierre!N7/$R$2</f>
        <v>92.570909090909097</v>
      </c>
      <c r="H8" s="341">
        <f>+Cierre!AH7/$R$2</f>
        <v>0</v>
      </c>
      <c r="I8" s="301">
        <f t="shared" si="5"/>
        <v>184911.99999996636</v>
      </c>
      <c r="J8" s="324">
        <f t="shared" si="0"/>
        <v>356398</v>
      </c>
      <c r="K8" s="324">
        <f t="shared" si="1"/>
        <v>0</v>
      </c>
      <c r="L8" s="324">
        <f t="shared" si="2"/>
        <v>541309.99999996636</v>
      </c>
      <c r="M8" s="303">
        <f t="shared" si="3"/>
        <v>674.40000000000873</v>
      </c>
      <c r="N8" s="181"/>
      <c r="O8" s="77">
        <v>188600</v>
      </c>
      <c r="P8" s="77"/>
      <c r="R8" s="77"/>
    </row>
    <row r="9" spans="2:20" x14ac:dyDescent="0.15">
      <c r="B9" s="18">
        <v>6</v>
      </c>
      <c r="C9" s="272" t="str">
        <f>+'G. Corriente'!C12</f>
        <v>V</v>
      </c>
      <c r="D9" s="120">
        <f t="shared" si="4"/>
        <v>73842.899999999994</v>
      </c>
      <c r="E9" s="306">
        <v>74006.100000000006</v>
      </c>
      <c r="F9" s="137">
        <f t="shared" si="6"/>
        <v>163.20000000001164</v>
      </c>
      <c r="G9" s="341">
        <f>+Cierre!N8/$R$2</f>
        <v>32.002077922077923</v>
      </c>
      <c r="H9" s="341">
        <f>+Cierre!AH8/$R$2</f>
        <v>37</v>
      </c>
      <c r="I9" s="301">
        <f t="shared" si="5"/>
        <v>362662.00000004482</v>
      </c>
      <c r="J9" s="324">
        <f t="shared" si="0"/>
        <v>123208</v>
      </c>
      <c r="K9" s="324">
        <f t="shared" si="1"/>
        <v>142450</v>
      </c>
      <c r="L9" s="324">
        <f t="shared" si="2"/>
        <v>628320.00000004482</v>
      </c>
      <c r="M9" s="303">
        <f t="shared" si="3"/>
        <v>511.19999999999709</v>
      </c>
      <c r="N9" s="181">
        <v>1000</v>
      </c>
      <c r="O9" s="77">
        <v>505600</v>
      </c>
      <c r="P9" s="77"/>
      <c r="Q9" s="77"/>
    </row>
    <row r="10" spans="2:20" x14ac:dyDescent="0.15">
      <c r="B10" s="18">
        <v>7</v>
      </c>
      <c r="C10" s="272" t="str">
        <f>+'G. Corriente'!C13</f>
        <v>S</v>
      </c>
      <c r="D10" s="120">
        <f t="shared" si="4"/>
        <v>74006.100000000006</v>
      </c>
      <c r="E10" s="306">
        <v>74107.399999999994</v>
      </c>
      <c r="F10" s="137">
        <f t="shared" si="6"/>
        <v>101.29999999998836</v>
      </c>
      <c r="G10" s="328">
        <f>+Cierre!N9/$R$2</f>
        <v>14.922077922077921</v>
      </c>
      <c r="H10" s="341">
        <f>+Cierre!AH9/$R$2</f>
        <v>6</v>
      </c>
      <c r="I10" s="301">
        <f t="shared" si="5"/>
        <v>309454.99999995518</v>
      </c>
      <c r="J10" s="324">
        <f>+G10*$R$2</f>
        <v>57450</v>
      </c>
      <c r="K10" s="324">
        <f t="shared" si="1"/>
        <v>23100</v>
      </c>
      <c r="L10" s="324">
        <f t="shared" si="2"/>
        <v>390004.99999995518</v>
      </c>
      <c r="M10" s="303">
        <f t="shared" si="3"/>
        <v>1409.9000000000087</v>
      </c>
      <c r="N10" s="181"/>
      <c r="O10" s="77">
        <v>332850</v>
      </c>
      <c r="P10" s="77"/>
    </row>
    <row r="11" spans="2:20" x14ac:dyDescent="0.15">
      <c r="B11" s="18">
        <v>8</v>
      </c>
      <c r="C11" s="272" t="str">
        <f>+'G. Corriente'!C14</f>
        <v>D</v>
      </c>
      <c r="D11" s="120">
        <f t="shared" si="4"/>
        <v>74107.399999999994</v>
      </c>
      <c r="E11" s="371">
        <v>74210.899999999994</v>
      </c>
      <c r="F11" s="137">
        <f t="shared" si="6"/>
        <v>103.5</v>
      </c>
      <c r="G11" s="341">
        <f>+Cierre!N10/$R$2</f>
        <v>46.202077922077919</v>
      </c>
      <c r="H11" s="341">
        <f>+Cierre!AH10/$R$2</f>
        <v>0</v>
      </c>
      <c r="I11" s="301">
        <f>+(F11-G11-H11)*$R$2</f>
        <v>220597</v>
      </c>
      <c r="J11" s="324">
        <f t="shared" si="0"/>
        <v>177878</v>
      </c>
      <c r="K11" s="324">
        <f t="shared" si="1"/>
        <v>0</v>
      </c>
      <c r="L11" s="324">
        <f t="shared" si="2"/>
        <v>398475</v>
      </c>
      <c r="M11" s="303">
        <f t="shared" si="3"/>
        <v>1306.4000000000087</v>
      </c>
      <c r="N11" s="181"/>
      <c r="O11" s="77">
        <v>220900</v>
      </c>
      <c r="P11" s="77"/>
    </row>
    <row r="12" spans="2:20" x14ac:dyDescent="0.15">
      <c r="B12" s="18">
        <v>9</v>
      </c>
      <c r="C12" s="272" t="str">
        <f>+'G. Corriente'!C15</f>
        <v>L</v>
      </c>
      <c r="D12" s="120">
        <f t="shared" si="4"/>
        <v>74210.899999999994</v>
      </c>
      <c r="E12" s="306">
        <v>74289.7</v>
      </c>
      <c r="F12" s="137">
        <f t="shared" si="6"/>
        <v>78.80000000000291</v>
      </c>
      <c r="G12" s="341">
        <f>+Cierre!N11/$R$2</f>
        <v>38.445974025974024</v>
      </c>
      <c r="H12" s="341">
        <f>+Cierre!AH11/$R$2</f>
        <v>0</v>
      </c>
      <c r="I12" s="301">
        <f t="shared" si="5"/>
        <v>155363.0000000112</v>
      </c>
      <c r="J12" s="324">
        <f t="shared" si="0"/>
        <v>148017</v>
      </c>
      <c r="K12" s="324">
        <f t="shared" si="1"/>
        <v>0</v>
      </c>
      <c r="L12" s="324">
        <f t="shared" si="2"/>
        <v>303380.00000001118</v>
      </c>
      <c r="M12" s="303">
        <f t="shared" si="3"/>
        <v>1227.6000000000058</v>
      </c>
      <c r="N12" s="181"/>
      <c r="O12" s="77">
        <v>156300</v>
      </c>
      <c r="Q12" s="77"/>
    </row>
    <row r="13" spans="2:20" x14ac:dyDescent="0.15">
      <c r="B13" s="18">
        <v>10</v>
      </c>
      <c r="C13" s="272" t="str">
        <f>+'G. Corriente'!C16</f>
        <v>M</v>
      </c>
      <c r="D13" s="120">
        <f t="shared" si="4"/>
        <v>74289.7</v>
      </c>
      <c r="E13" s="306">
        <v>74471.100000000006</v>
      </c>
      <c r="F13" s="137">
        <f t="shared" si="6"/>
        <v>181.40000000000873</v>
      </c>
      <c r="G13" s="341">
        <f>+Cierre!N12/$R$2</f>
        <v>76</v>
      </c>
      <c r="H13" s="341">
        <f>+Cierre!AH12/$R$2</f>
        <v>47</v>
      </c>
      <c r="I13" s="301">
        <f t="shared" si="5"/>
        <v>224840.00000003361</v>
      </c>
      <c r="J13" s="324">
        <f t="shared" si="0"/>
        <v>292600</v>
      </c>
      <c r="K13" s="324">
        <f t="shared" si="1"/>
        <v>180950</v>
      </c>
      <c r="L13" s="324">
        <f t="shared" si="2"/>
        <v>698390.00000003364</v>
      </c>
      <c r="M13" s="303">
        <f t="shared" si="3"/>
        <v>1046.1999999999971</v>
      </c>
      <c r="N13" s="181"/>
      <c r="O13" s="77">
        <v>245600</v>
      </c>
      <c r="P13" s="77">
        <f>+O5+O6+O7+O8+O9+O10+O11+O12+O13</f>
        <v>2693700</v>
      </c>
      <c r="Q13" s="146" t="s">
        <v>218</v>
      </c>
      <c r="R13">
        <v>160250</v>
      </c>
      <c r="S13" s="146" t="s">
        <v>219</v>
      </c>
    </row>
    <row r="14" spans="2:20" x14ac:dyDescent="0.15">
      <c r="B14" s="18">
        <v>11</v>
      </c>
      <c r="C14" s="272" t="str">
        <f>+'G. Corriente'!C17</f>
        <v>M</v>
      </c>
      <c r="D14" s="120">
        <f t="shared" si="4"/>
        <v>74471.100000000006</v>
      </c>
      <c r="E14" s="371">
        <v>74504.2</v>
      </c>
      <c r="F14" s="137">
        <f t="shared" si="6"/>
        <v>33.099999999991269</v>
      </c>
      <c r="G14" s="341">
        <f>+Cierre!N13/$R$2</f>
        <v>0</v>
      </c>
      <c r="H14" s="341">
        <f>+Cierre!AH13/$R$2</f>
        <v>0</v>
      </c>
      <c r="I14" s="301">
        <f t="shared" si="5"/>
        <v>127434.99999996639</v>
      </c>
      <c r="J14" s="324">
        <f t="shared" si="0"/>
        <v>0</v>
      </c>
      <c r="K14" s="324">
        <f t="shared" si="1"/>
        <v>0</v>
      </c>
      <c r="L14" s="324">
        <f t="shared" si="2"/>
        <v>127434.99999996639</v>
      </c>
      <c r="M14" s="303">
        <f>+M13+N13-F14</f>
        <v>1013.1000000000058</v>
      </c>
      <c r="N14" s="181"/>
      <c r="O14" s="77">
        <v>128800</v>
      </c>
      <c r="P14" s="77"/>
    </row>
    <row r="15" spans="2:20" x14ac:dyDescent="0.15">
      <c r="B15" s="18">
        <v>12</v>
      </c>
      <c r="C15" s="272" t="str">
        <f>+'G. Corriente'!C18</f>
        <v>J</v>
      </c>
      <c r="D15" s="120">
        <f t="shared" si="4"/>
        <v>74504.2</v>
      </c>
      <c r="E15" s="371">
        <v>74606.600000000006</v>
      </c>
      <c r="F15" s="137">
        <f t="shared" si="6"/>
        <v>102.40000000000873</v>
      </c>
      <c r="G15" s="341">
        <f>+Cierre!N14/$R$2</f>
        <v>46.18</v>
      </c>
      <c r="H15" s="341">
        <f>+Cierre!AH14/$R$2</f>
        <v>0</v>
      </c>
      <c r="I15" s="301">
        <f>+(F15-G15-H15)*$R$2</f>
        <v>216447.00000003361</v>
      </c>
      <c r="J15" s="324">
        <f>+G15*$R$2</f>
        <v>177793</v>
      </c>
      <c r="K15" s="324">
        <f t="shared" si="1"/>
        <v>0</v>
      </c>
      <c r="L15" s="324">
        <f t="shared" si="2"/>
        <v>394240.00000003364</v>
      </c>
      <c r="M15" s="303">
        <f t="shared" si="3"/>
        <v>910.69999999999709</v>
      </c>
      <c r="N15" s="181"/>
      <c r="O15" s="77">
        <v>217600</v>
      </c>
      <c r="P15" s="77"/>
    </row>
    <row r="16" spans="2:20" x14ac:dyDescent="0.15">
      <c r="B16" s="18">
        <v>13</v>
      </c>
      <c r="C16" s="272" t="str">
        <f>+'G. Corriente'!C19</f>
        <v>V</v>
      </c>
      <c r="D16" s="120">
        <f t="shared" si="4"/>
        <v>74606.600000000006</v>
      </c>
      <c r="E16" s="306">
        <v>74780.7</v>
      </c>
      <c r="F16" s="137">
        <f t="shared" si="6"/>
        <v>174.09999999999127</v>
      </c>
      <c r="G16" s="341">
        <f>+Cierre!N15/$R$2</f>
        <v>117.62909090909091</v>
      </c>
      <c r="H16" s="341">
        <f>+Cierre!AH15/$R$2</f>
        <v>0</v>
      </c>
      <c r="I16" s="301">
        <f t="shared" si="5"/>
        <v>217412.99999996639</v>
      </c>
      <c r="J16" s="324">
        <f t="shared" si="0"/>
        <v>452872</v>
      </c>
      <c r="K16" s="324">
        <f t="shared" si="1"/>
        <v>0</v>
      </c>
      <c r="L16" s="324">
        <f t="shared" si="2"/>
        <v>670284.99999996636</v>
      </c>
      <c r="M16" s="303">
        <f t="shared" si="3"/>
        <v>736.60000000000582</v>
      </c>
      <c r="N16" s="181"/>
      <c r="O16" s="77">
        <v>221000</v>
      </c>
      <c r="P16" s="77"/>
      <c r="Q16" s="77"/>
    </row>
    <row r="17" spans="2:21" x14ac:dyDescent="0.15">
      <c r="B17" s="18">
        <v>14</v>
      </c>
      <c r="C17" s="272" t="str">
        <f>+'G. Corriente'!C20</f>
        <v>S</v>
      </c>
      <c r="D17" s="120">
        <f t="shared" si="4"/>
        <v>74780.7</v>
      </c>
      <c r="E17" s="306">
        <v>74825.8</v>
      </c>
      <c r="F17" s="137">
        <f t="shared" si="6"/>
        <v>45.100000000005821</v>
      </c>
      <c r="G17" s="341">
        <f>+Cierre!N16/$R$2</f>
        <v>22</v>
      </c>
      <c r="H17" s="341">
        <f>+Cierre!AH16/$R$2</f>
        <v>0</v>
      </c>
      <c r="I17" s="301">
        <f t="shared" si="5"/>
        <v>88935.00000002241</v>
      </c>
      <c r="J17" s="324">
        <f t="shared" si="0"/>
        <v>84700</v>
      </c>
      <c r="K17" s="324">
        <f t="shared" si="1"/>
        <v>0</v>
      </c>
      <c r="L17" s="324">
        <f t="shared" si="2"/>
        <v>173635.00000002241</v>
      </c>
      <c r="M17" s="303">
        <f t="shared" si="3"/>
        <v>691.5</v>
      </c>
      <c r="N17" s="181"/>
      <c r="O17" s="495">
        <v>88950</v>
      </c>
      <c r="P17" s="77"/>
    </row>
    <row r="18" spans="2:21" x14ac:dyDescent="0.15">
      <c r="B18" s="18">
        <v>15</v>
      </c>
      <c r="C18" s="272" t="str">
        <f>+'G. Corriente'!C21</f>
        <v>D</v>
      </c>
      <c r="D18" s="120">
        <f t="shared" ref="D18:D34" si="7">+E17</f>
        <v>74825.8</v>
      </c>
      <c r="E18" s="306">
        <v>74858</v>
      </c>
      <c r="F18" s="137">
        <f t="shared" si="6"/>
        <v>32.19999999999709</v>
      </c>
      <c r="G18" s="341">
        <f>+Cierre!N17/$R$2</f>
        <v>0</v>
      </c>
      <c r="H18" s="341">
        <f>+Cierre!AH17/$R$2</f>
        <v>0</v>
      </c>
      <c r="I18" s="301">
        <f t="shared" si="5"/>
        <v>123969.9999999888</v>
      </c>
      <c r="J18" s="324">
        <f t="shared" si="0"/>
        <v>0</v>
      </c>
      <c r="K18" s="324">
        <f t="shared" si="1"/>
        <v>0</v>
      </c>
      <c r="L18" s="324">
        <f t="shared" si="2"/>
        <v>123969.9999999888</v>
      </c>
      <c r="M18" s="303">
        <f t="shared" si="3"/>
        <v>659.30000000000291</v>
      </c>
      <c r="N18" s="181"/>
      <c r="O18" s="77">
        <v>124000</v>
      </c>
      <c r="P18" s="77"/>
    </row>
    <row r="19" spans="2:21" x14ac:dyDescent="0.15">
      <c r="B19" s="18">
        <v>16</v>
      </c>
      <c r="C19" s="272" t="str">
        <f>+'G. Corriente'!C22</f>
        <v>L</v>
      </c>
      <c r="D19" s="380">
        <f t="shared" si="7"/>
        <v>74858</v>
      </c>
      <c r="E19" s="306">
        <v>74946.2</v>
      </c>
      <c r="F19" s="137">
        <f t="shared" si="6"/>
        <v>88.19999999999709</v>
      </c>
      <c r="G19" s="341">
        <f>+Cierre!N18/$R$2</f>
        <v>31.677922077922076</v>
      </c>
      <c r="H19" s="341">
        <f>+Cierre!AH18/$R$2</f>
        <v>0</v>
      </c>
      <c r="I19" s="301">
        <f>+(F19-G19-H19)*$R$2</f>
        <v>217609.9999999888</v>
      </c>
      <c r="J19" s="324">
        <f t="shared" si="0"/>
        <v>121960</v>
      </c>
      <c r="K19" s="324">
        <f t="shared" si="1"/>
        <v>0</v>
      </c>
      <c r="L19" s="324">
        <f t="shared" si="2"/>
        <v>339569.99999998882</v>
      </c>
      <c r="M19" s="303">
        <f t="shared" si="3"/>
        <v>571.10000000000582</v>
      </c>
      <c r="N19" s="181"/>
      <c r="O19" s="77">
        <v>219300</v>
      </c>
      <c r="P19" s="77"/>
      <c r="Q19" s="77"/>
    </row>
    <row r="20" spans="2:21" x14ac:dyDescent="0.15">
      <c r="B20" s="18">
        <v>17</v>
      </c>
      <c r="C20" s="272" t="str">
        <f>+'G. Corriente'!C23</f>
        <v>M</v>
      </c>
      <c r="D20" s="120">
        <f t="shared" si="7"/>
        <v>74946.2</v>
      </c>
      <c r="E20" s="305">
        <v>75186.899999999994</v>
      </c>
      <c r="F20" s="137">
        <f t="shared" si="6"/>
        <v>240.69999999999709</v>
      </c>
      <c r="G20" s="341">
        <f>+Cierre!N19/$R$2</f>
        <v>58.064935064935064</v>
      </c>
      <c r="H20" s="341">
        <f>+Cierre!AH19/$R$2</f>
        <v>0</v>
      </c>
      <c r="I20" s="301">
        <f t="shared" si="5"/>
        <v>703144.99999998882</v>
      </c>
      <c r="J20" s="324">
        <f t="shared" si="0"/>
        <v>223550</v>
      </c>
      <c r="K20" s="324">
        <f t="shared" si="1"/>
        <v>0</v>
      </c>
      <c r="L20" s="324">
        <f t="shared" si="2"/>
        <v>926694.99999998882</v>
      </c>
      <c r="M20" s="303">
        <f t="shared" si="3"/>
        <v>330.40000000000873</v>
      </c>
      <c r="N20" s="181"/>
      <c r="O20" s="77">
        <v>703900</v>
      </c>
      <c r="P20" s="77"/>
      <c r="Q20" s="77"/>
    </row>
    <row r="21" spans="2:21" x14ac:dyDescent="0.15">
      <c r="B21" s="18">
        <v>18</v>
      </c>
      <c r="C21" s="272" t="str">
        <f>+'G. Corriente'!C24</f>
        <v>M</v>
      </c>
      <c r="D21" s="120">
        <f t="shared" si="7"/>
        <v>75186.899999999994</v>
      </c>
      <c r="E21" s="306">
        <v>75384</v>
      </c>
      <c r="F21" s="137">
        <f t="shared" si="6"/>
        <v>197.10000000000582</v>
      </c>
      <c r="G21" s="341">
        <f>+Cierre!N20/$R$2</f>
        <v>91.777922077922085</v>
      </c>
      <c r="H21" s="341">
        <f>+Cierre!AH20/$R$2</f>
        <v>28</v>
      </c>
      <c r="I21" s="301">
        <f t="shared" si="5"/>
        <v>297690.00000002241</v>
      </c>
      <c r="J21" s="324">
        <f t="shared" si="0"/>
        <v>353345</v>
      </c>
      <c r="K21" s="324">
        <f t="shared" si="1"/>
        <v>107800</v>
      </c>
      <c r="L21" s="324">
        <f t="shared" si="2"/>
        <v>758835.00000002235</v>
      </c>
      <c r="M21" s="303">
        <f t="shared" si="3"/>
        <v>133.30000000000291</v>
      </c>
      <c r="N21" s="181">
        <v>1900</v>
      </c>
      <c r="O21" s="77">
        <v>405350</v>
      </c>
      <c r="P21" s="77">
        <f>+O21+O20+O19+O18+O17+O16+O15+O14</f>
        <v>2108900</v>
      </c>
      <c r="Q21" s="77"/>
    </row>
    <row r="22" spans="2:21" x14ac:dyDescent="0.15">
      <c r="B22" s="18">
        <v>19</v>
      </c>
      <c r="C22" s="272" t="str">
        <f>+'G. Corriente'!C25</f>
        <v>J</v>
      </c>
      <c r="D22" s="380">
        <f t="shared" si="7"/>
        <v>75384</v>
      </c>
      <c r="E22" s="306">
        <v>75496.7</v>
      </c>
      <c r="F22" s="137">
        <f t="shared" si="6"/>
        <v>112.69999999999709</v>
      </c>
      <c r="G22" s="341">
        <f>+Cierre!N21/$R$2</f>
        <v>9.8280519480519484</v>
      </c>
      <c r="H22" s="341">
        <f>+Cierre!AH21/$R$2</f>
        <v>0</v>
      </c>
      <c r="I22" s="301">
        <f t="shared" si="5"/>
        <v>396056.99999998877</v>
      </c>
      <c r="J22" s="324">
        <f t="shared" si="0"/>
        <v>37838</v>
      </c>
      <c r="K22" s="324">
        <f t="shared" si="1"/>
        <v>0</v>
      </c>
      <c r="L22" s="324">
        <f t="shared" si="2"/>
        <v>433894.99999998877</v>
      </c>
      <c r="M22" s="303">
        <f t="shared" si="3"/>
        <v>1920.6000000000058</v>
      </c>
      <c r="N22" s="181"/>
      <c r="O22" s="77">
        <v>396150</v>
      </c>
      <c r="P22" s="77"/>
    </row>
    <row r="23" spans="2:21" x14ac:dyDescent="0.15">
      <c r="B23" s="18">
        <v>20</v>
      </c>
      <c r="C23" s="272" t="str">
        <f>+'G. Corriente'!C26</f>
        <v>V</v>
      </c>
      <c r="D23" s="120">
        <f t="shared" si="7"/>
        <v>75496.7</v>
      </c>
      <c r="E23" s="306">
        <v>75625</v>
      </c>
      <c r="F23" s="137">
        <f t="shared" si="6"/>
        <v>128.30000000000291</v>
      </c>
      <c r="G23" s="341">
        <f>+Cierre!N22/$R$2</f>
        <v>25</v>
      </c>
      <c r="H23" s="341">
        <f>+Cierre!AH22/$R$2</f>
        <v>0</v>
      </c>
      <c r="I23" s="301">
        <f t="shared" si="5"/>
        <v>397705.00000001118</v>
      </c>
      <c r="J23" s="324">
        <f t="shared" si="0"/>
        <v>96250</v>
      </c>
      <c r="K23" s="324">
        <f t="shared" si="1"/>
        <v>0</v>
      </c>
      <c r="L23" s="324">
        <f t="shared" si="2"/>
        <v>493955.00000001118</v>
      </c>
      <c r="M23" s="303">
        <f t="shared" si="3"/>
        <v>1792.3000000000029</v>
      </c>
      <c r="N23" s="181"/>
      <c r="O23" s="77">
        <v>397850</v>
      </c>
      <c r="P23" s="77"/>
      <c r="Q23" s="77"/>
      <c r="U23" s="146"/>
    </row>
    <row r="24" spans="2:21" x14ac:dyDescent="0.15">
      <c r="B24" s="18">
        <v>21</v>
      </c>
      <c r="C24" s="272" t="str">
        <f>+'G. Corriente'!C27</f>
        <v>S</v>
      </c>
      <c r="D24" s="120">
        <f t="shared" si="7"/>
        <v>75625</v>
      </c>
      <c r="E24" s="306">
        <v>75685.399999999994</v>
      </c>
      <c r="F24" s="137">
        <f t="shared" si="6"/>
        <v>60.399999999994179</v>
      </c>
      <c r="G24" s="341">
        <f>+Cierre!N23/$R$2</f>
        <v>16</v>
      </c>
      <c r="H24" s="341">
        <f>+Cierre!AH23/$R$2</f>
        <v>0</v>
      </c>
      <c r="I24" s="301">
        <f t="shared" si="5"/>
        <v>170939.99999997759</v>
      </c>
      <c r="J24" s="324">
        <f t="shared" si="0"/>
        <v>61600</v>
      </c>
      <c r="K24" s="324">
        <f t="shared" si="1"/>
        <v>0</v>
      </c>
      <c r="L24" s="324">
        <f t="shared" si="2"/>
        <v>232539.99999997759</v>
      </c>
      <c r="M24" s="303">
        <f t="shared" si="3"/>
        <v>1731.9000000000087</v>
      </c>
      <c r="N24" s="181"/>
      <c r="O24" s="77">
        <v>171000</v>
      </c>
      <c r="P24" s="77"/>
    </row>
    <row r="25" spans="2:21" x14ac:dyDescent="0.15">
      <c r="B25" s="18">
        <v>22</v>
      </c>
      <c r="C25" s="272" t="str">
        <f>+'G. Corriente'!C28</f>
        <v>D</v>
      </c>
      <c r="D25" s="120">
        <f t="shared" si="7"/>
        <v>75685.399999999994</v>
      </c>
      <c r="E25" s="306">
        <v>75765.100000000006</v>
      </c>
      <c r="F25" s="137">
        <f t="shared" si="6"/>
        <v>79.700000000011642</v>
      </c>
      <c r="G25" s="341">
        <f>+Cierre!N24/$R$2</f>
        <v>9.4831168831168835</v>
      </c>
      <c r="H25" s="341">
        <f>+Cierre!AH24/$R$2</f>
        <v>0</v>
      </c>
      <c r="I25" s="301">
        <f>+(F25-G25-H25)*$R$2</f>
        <v>270335.00000004482</v>
      </c>
      <c r="J25" s="324">
        <f t="shared" si="0"/>
        <v>36510</v>
      </c>
      <c r="K25" s="324">
        <f t="shared" si="1"/>
        <v>0</v>
      </c>
      <c r="L25" s="324">
        <f t="shared" si="2"/>
        <v>306845.00000004482</v>
      </c>
      <c r="M25" s="303">
        <f t="shared" si="3"/>
        <v>1652.1999999999971</v>
      </c>
      <c r="N25" s="181"/>
      <c r="O25" s="77">
        <v>270350</v>
      </c>
      <c r="P25" s="77"/>
    </row>
    <row r="26" spans="2:21" x14ac:dyDescent="0.15">
      <c r="B26" s="18">
        <v>23</v>
      </c>
      <c r="C26" s="272" t="str">
        <f>+'G. Corriente'!C29</f>
        <v>L</v>
      </c>
      <c r="D26" s="120">
        <f t="shared" si="7"/>
        <v>75765.100000000006</v>
      </c>
      <c r="E26" s="306">
        <v>75867.199999999997</v>
      </c>
      <c r="F26" s="137">
        <f t="shared" si="6"/>
        <v>102.09999999999127</v>
      </c>
      <c r="G26" s="341">
        <f>+Cierre!N25/$R$2</f>
        <v>0</v>
      </c>
      <c r="H26" s="341">
        <f>+Cierre!AH25/$R$2</f>
        <v>0</v>
      </c>
      <c r="I26" s="301">
        <f t="shared" si="5"/>
        <v>393084.99999996636</v>
      </c>
      <c r="J26" s="324">
        <f t="shared" si="0"/>
        <v>0</v>
      </c>
      <c r="K26" s="324">
        <f t="shared" si="1"/>
        <v>0</v>
      </c>
      <c r="L26" s="324">
        <f t="shared" si="2"/>
        <v>393084.99999996636</v>
      </c>
      <c r="M26" s="303">
        <f>+M25+N25-F26</f>
        <v>1550.1000000000058</v>
      </c>
      <c r="N26" s="181"/>
      <c r="O26" s="77">
        <v>393450</v>
      </c>
      <c r="P26" s="77"/>
    </row>
    <row r="27" spans="2:21" x14ac:dyDescent="0.15">
      <c r="B27" s="18">
        <v>24</v>
      </c>
      <c r="C27" s="272" t="str">
        <f>+'G. Corriente'!C30</f>
        <v>M</v>
      </c>
      <c r="D27" s="120">
        <f t="shared" si="7"/>
        <v>75867.199999999997</v>
      </c>
      <c r="E27" s="306">
        <v>76049.600000000006</v>
      </c>
      <c r="F27" s="137">
        <f t="shared" si="6"/>
        <v>182.40000000000873</v>
      </c>
      <c r="G27" s="341">
        <f>+Cierre!N26/$R$2</f>
        <v>84.289090909090916</v>
      </c>
      <c r="H27" s="341">
        <f>+Cierre!AH26/$R$2</f>
        <v>0</v>
      </c>
      <c r="I27" s="301">
        <f t="shared" si="5"/>
        <v>377727.00000003359</v>
      </c>
      <c r="J27" s="324">
        <f t="shared" si="0"/>
        <v>324513</v>
      </c>
      <c r="K27" s="324">
        <f t="shared" si="1"/>
        <v>0</v>
      </c>
      <c r="L27" s="324">
        <f t="shared" si="2"/>
        <v>702240.00000003353</v>
      </c>
      <c r="M27" s="303">
        <f>+M26+N26-F27</f>
        <v>1367.6999999999971</v>
      </c>
      <c r="N27" s="181"/>
      <c r="O27" s="77">
        <v>378300</v>
      </c>
      <c r="P27" s="460"/>
      <c r="Q27" s="146"/>
    </row>
    <row r="28" spans="2:21" x14ac:dyDescent="0.15">
      <c r="B28" s="18">
        <v>25</v>
      </c>
      <c r="C28" s="272" t="str">
        <f>+'G. Corriente'!C31</f>
        <v>M</v>
      </c>
      <c r="D28" s="120">
        <f t="shared" si="7"/>
        <v>76049.600000000006</v>
      </c>
      <c r="E28" s="306">
        <v>76203.5</v>
      </c>
      <c r="F28" s="137">
        <f t="shared" si="6"/>
        <v>153.89999999999418</v>
      </c>
      <c r="G28" s="341">
        <f>+Cierre!N27/$R$2</f>
        <v>13</v>
      </c>
      <c r="H28" s="341">
        <f>+Cierre!AH27/$R$2</f>
        <v>18</v>
      </c>
      <c r="I28" s="301">
        <f t="shared" si="5"/>
        <v>473164.99999997759</v>
      </c>
      <c r="J28" s="324">
        <f t="shared" si="0"/>
        <v>50050</v>
      </c>
      <c r="K28" s="324">
        <f t="shared" si="1"/>
        <v>69300</v>
      </c>
      <c r="L28" s="324">
        <f t="shared" si="2"/>
        <v>592514.99999997765</v>
      </c>
      <c r="M28" s="303">
        <f t="shared" si="3"/>
        <v>1213.8000000000029</v>
      </c>
      <c r="N28" s="181"/>
      <c r="O28" s="77">
        <v>542600</v>
      </c>
      <c r="P28" s="77"/>
    </row>
    <row r="29" spans="2:21" x14ac:dyDescent="0.15">
      <c r="B29" s="18">
        <v>26</v>
      </c>
      <c r="C29" s="272" t="str">
        <f>+'G. Corriente'!C32</f>
        <v>J</v>
      </c>
      <c r="D29" s="120">
        <f t="shared" si="7"/>
        <v>76203.5</v>
      </c>
      <c r="E29" s="306">
        <v>76239.3</v>
      </c>
      <c r="F29" s="137">
        <f t="shared" si="6"/>
        <v>35.80000000000291</v>
      </c>
      <c r="G29" s="341">
        <f>+Cierre!N28/$R$2</f>
        <v>0</v>
      </c>
      <c r="H29" s="341">
        <f>+Cierre!AH28/$R$2</f>
        <v>0</v>
      </c>
      <c r="I29" s="301">
        <f t="shared" si="5"/>
        <v>137830.0000000112</v>
      </c>
      <c r="J29" s="324">
        <f t="shared" si="0"/>
        <v>0</v>
      </c>
      <c r="K29" s="324">
        <f t="shared" si="1"/>
        <v>0</v>
      </c>
      <c r="L29" s="324">
        <f t="shared" si="2"/>
        <v>137830.0000000112</v>
      </c>
      <c r="M29" s="303">
        <f t="shared" si="3"/>
        <v>1178</v>
      </c>
      <c r="N29" s="181"/>
      <c r="O29" s="77">
        <v>137850</v>
      </c>
      <c r="P29" s="77"/>
    </row>
    <row r="30" spans="2:21" x14ac:dyDescent="0.15">
      <c r="B30" s="18">
        <v>27</v>
      </c>
      <c r="C30" s="272" t="str">
        <f>+'G. Corriente'!C33</f>
        <v>V</v>
      </c>
      <c r="D30" s="120">
        <f t="shared" si="7"/>
        <v>76239.3</v>
      </c>
      <c r="E30" s="306">
        <v>76322.100000000006</v>
      </c>
      <c r="F30" s="137">
        <f t="shared" si="6"/>
        <v>82.80000000000291</v>
      </c>
      <c r="G30" s="341">
        <f>+Cierre!N29/$R$2</f>
        <v>8.0259740259740262</v>
      </c>
      <c r="H30" s="341">
        <f>+Cierre!AH29/$R$2</f>
        <v>0</v>
      </c>
      <c r="I30" s="301">
        <f t="shared" si="5"/>
        <v>287880.00000001123</v>
      </c>
      <c r="J30" s="324">
        <f t="shared" si="0"/>
        <v>30900</v>
      </c>
      <c r="K30" s="324">
        <f t="shared" si="1"/>
        <v>0</v>
      </c>
      <c r="L30" s="324">
        <f t="shared" si="2"/>
        <v>318780.00000001123</v>
      </c>
      <c r="M30" s="303">
        <f t="shared" si="3"/>
        <v>1095.1999999999971</v>
      </c>
      <c r="N30" s="181"/>
      <c r="O30" s="77">
        <v>288600</v>
      </c>
      <c r="P30" s="77"/>
      <c r="Q30" s="77"/>
    </row>
    <row r="31" spans="2:21" x14ac:dyDescent="0.15">
      <c r="B31" s="18">
        <v>28</v>
      </c>
      <c r="C31" s="272" t="str">
        <f>+'G. Corriente'!C34</f>
        <v>S</v>
      </c>
      <c r="D31" s="120">
        <f t="shared" si="7"/>
        <v>76322.100000000006</v>
      </c>
      <c r="E31" s="306">
        <v>76449.100000000006</v>
      </c>
      <c r="F31" s="137">
        <f t="shared" si="6"/>
        <v>127</v>
      </c>
      <c r="G31" s="341">
        <f>+Cierre!N30/$R$2</f>
        <v>37.841038961038961</v>
      </c>
      <c r="H31" s="341">
        <f>+Cierre!AH30/$R$2</f>
        <v>25</v>
      </c>
      <c r="I31" s="301">
        <f t="shared" si="5"/>
        <v>247012</v>
      </c>
      <c r="J31" s="324">
        <f t="shared" si="0"/>
        <v>145688</v>
      </c>
      <c r="K31" s="324">
        <f t="shared" si="1"/>
        <v>96250</v>
      </c>
      <c r="L31" s="324">
        <f t="shared" si="2"/>
        <v>488950</v>
      </c>
      <c r="M31" s="303">
        <f>+M30+N30-F31</f>
        <v>968.19999999999709</v>
      </c>
      <c r="N31" s="181"/>
      <c r="O31" s="77">
        <v>343300</v>
      </c>
      <c r="P31" s="77">
        <f>+O31+O30+O29+O28+O27+O26+O25+O24+O23+O22</f>
        <v>3319450</v>
      </c>
    </row>
    <row r="32" spans="2:21" x14ac:dyDescent="0.15">
      <c r="B32" s="18">
        <v>29</v>
      </c>
      <c r="C32" s="272" t="str">
        <f>+'G. Corriente'!C35</f>
        <v>D</v>
      </c>
      <c r="D32" s="120">
        <f t="shared" si="7"/>
        <v>76449.100000000006</v>
      </c>
      <c r="E32" s="306"/>
      <c r="F32" s="137">
        <f t="shared" si="6"/>
        <v>-76449.100000000006</v>
      </c>
      <c r="G32" s="341">
        <f>+Cierre!N31/$R$2</f>
        <v>0</v>
      </c>
      <c r="H32" s="341">
        <f>+Cierre!AH31/$R$2</f>
        <v>0</v>
      </c>
      <c r="I32" s="301">
        <f t="shared" si="5"/>
        <v>-294329035</v>
      </c>
      <c r="J32" s="324">
        <f t="shared" si="0"/>
        <v>0</v>
      </c>
      <c r="K32" s="324">
        <f t="shared" si="1"/>
        <v>0</v>
      </c>
      <c r="L32" s="324">
        <f t="shared" si="2"/>
        <v>-294329035</v>
      </c>
      <c r="M32" s="303">
        <f t="shared" si="3"/>
        <v>77417.3</v>
      </c>
      <c r="N32" s="181"/>
      <c r="O32" s="77"/>
      <c r="P32" s="77"/>
    </row>
    <row r="33" spans="2:20" x14ac:dyDescent="0.15">
      <c r="B33" s="18">
        <v>30</v>
      </c>
      <c r="C33" s="272" t="str">
        <f>+'G. Corriente'!C36</f>
        <v>L</v>
      </c>
      <c r="D33" s="120">
        <f t="shared" si="7"/>
        <v>0</v>
      </c>
      <c r="E33" s="306"/>
      <c r="F33" s="137">
        <f t="shared" si="6"/>
        <v>0</v>
      </c>
      <c r="G33" s="341">
        <f>+Cierre!N32/$R$2</f>
        <v>0</v>
      </c>
      <c r="H33" s="341">
        <f>+Cierre!AH32/$R$2</f>
        <v>0</v>
      </c>
      <c r="I33" s="301">
        <f t="shared" si="5"/>
        <v>0</v>
      </c>
      <c r="J33" s="324">
        <f t="shared" si="0"/>
        <v>0</v>
      </c>
      <c r="K33" s="324">
        <f t="shared" si="1"/>
        <v>0</v>
      </c>
      <c r="L33" s="324">
        <f t="shared" si="2"/>
        <v>0</v>
      </c>
      <c r="M33" s="303">
        <f t="shared" si="3"/>
        <v>77417.3</v>
      </c>
      <c r="N33" s="181"/>
      <c r="O33" s="77"/>
      <c r="P33" s="77"/>
    </row>
    <row r="34" spans="2:20" ht="14" thickBot="1" x14ac:dyDescent="0.2">
      <c r="B34" s="19">
        <v>31</v>
      </c>
      <c r="C34" s="273" t="str">
        <f>+'G. Corriente'!C37</f>
        <v>M</v>
      </c>
      <c r="D34" s="123">
        <f t="shared" si="7"/>
        <v>0</v>
      </c>
      <c r="E34" s="378"/>
      <c r="F34" s="294">
        <f t="shared" si="6"/>
        <v>0</v>
      </c>
      <c r="G34" s="352">
        <f>+Cierre!N33/$R$2</f>
        <v>0</v>
      </c>
      <c r="H34" s="352">
        <f>+Cierre!AH33/$R$2</f>
        <v>0</v>
      </c>
      <c r="I34" s="337">
        <f t="shared" si="5"/>
        <v>0</v>
      </c>
      <c r="J34" s="366">
        <f t="shared" si="0"/>
        <v>0</v>
      </c>
      <c r="K34" s="366">
        <f t="shared" si="1"/>
        <v>0</v>
      </c>
      <c r="L34" s="366">
        <f t="shared" si="2"/>
        <v>0</v>
      </c>
      <c r="M34" s="340">
        <f>+M33+N33-F34</f>
        <v>77417.3</v>
      </c>
      <c r="N34" s="182"/>
      <c r="O34" s="77"/>
      <c r="P34" s="77"/>
    </row>
    <row r="35" spans="2:20" x14ac:dyDescent="0.15">
      <c r="T35" s="146"/>
    </row>
    <row r="36" spans="2:20" x14ac:dyDescent="0.15">
      <c r="E36" s="269"/>
    </row>
  </sheetData>
  <mergeCells count="1">
    <mergeCell ref="B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14B8-3607-4396-9F69-6AE529D14B6E}">
  <dimension ref="B1:O69"/>
  <sheetViews>
    <sheetView topLeftCell="A32" zoomScale="110" zoomScaleNormal="110" workbookViewId="0">
      <selection activeCell="D52" sqref="D52"/>
    </sheetView>
  </sheetViews>
  <sheetFormatPr baseColWidth="10" defaultColWidth="10.83203125" defaultRowHeight="13" x14ac:dyDescent="0.15"/>
  <cols>
    <col min="2" max="2" width="13" customWidth="1"/>
    <col min="3" max="3" width="13.83203125" bestFit="1" customWidth="1"/>
    <col min="4" max="4" width="9.1640625" customWidth="1"/>
    <col min="5" max="5" width="6.83203125" customWidth="1"/>
    <col min="6" max="6" width="7.83203125" customWidth="1"/>
    <col min="7" max="7" width="9.33203125" bestFit="1" customWidth="1"/>
    <col min="8" max="8" width="6.5" bestFit="1" customWidth="1"/>
    <col min="9" max="9" width="22.33203125" bestFit="1" customWidth="1"/>
  </cols>
  <sheetData>
    <row r="1" spans="2:9" ht="14" thickBot="1" x14ac:dyDescent="0.2"/>
    <row r="2" spans="2:9" ht="14" thickBot="1" x14ac:dyDescent="0.2">
      <c r="B2" s="586" t="s">
        <v>103</v>
      </c>
      <c r="C2" s="582" t="s">
        <v>101</v>
      </c>
      <c r="D2" s="590" t="s">
        <v>102</v>
      </c>
      <c r="E2" s="591"/>
      <c r="F2" s="591"/>
      <c r="G2" s="591"/>
      <c r="H2" s="592"/>
    </row>
    <row r="3" spans="2:9" ht="14" thickBot="1" x14ac:dyDescent="0.2">
      <c r="B3" s="587"/>
      <c r="C3" s="583"/>
      <c r="D3" s="391" t="s">
        <v>107</v>
      </c>
      <c r="E3" s="392" t="s">
        <v>31</v>
      </c>
      <c r="F3" s="392" t="s">
        <v>104</v>
      </c>
      <c r="G3" s="393" t="s">
        <v>100</v>
      </c>
      <c r="H3" s="394" t="s">
        <v>17</v>
      </c>
    </row>
    <row r="4" spans="2:9" x14ac:dyDescent="0.15">
      <c r="B4" s="281">
        <v>45689</v>
      </c>
      <c r="C4" s="327"/>
      <c r="D4" s="315"/>
      <c r="E4" s="316"/>
      <c r="F4" s="336">
        <f>+D4+E4</f>
        <v>0</v>
      </c>
      <c r="G4" s="387"/>
      <c r="H4" s="168">
        <f>+D4+E4+G4</f>
        <v>0</v>
      </c>
    </row>
    <row r="5" spans="2:9" x14ac:dyDescent="0.15">
      <c r="B5" s="275">
        <v>45689</v>
      </c>
      <c r="C5" s="317"/>
      <c r="D5" s="318"/>
      <c r="E5" s="319"/>
      <c r="F5" s="336">
        <f t="shared" ref="F5:F65" si="0">+D5+E5</f>
        <v>0</v>
      </c>
      <c r="G5" s="388"/>
      <c r="H5" s="169">
        <f t="shared" ref="H5:H65" si="1">+D5+E5+G5</f>
        <v>0</v>
      </c>
    </row>
    <row r="6" spans="2:9" x14ac:dyDescent="0.15">
      <c r="B6" s="275">
        <v>45690</v>
      </c>
      <c r="C6" s="181">
        <v>867020135</v>
      </c>
      <c r="D6" s="189">
        <v>5800</v>
      </c>
      <c r="E6" s="76"/>
      <c r="F6" s="336">
        <f t="shared" si="0"/>
        <v>5800</v>
      </c>
      <c r="G6" s="383">
        <v>2800</v>
      </c>
      <c r="H6" s="169">
        <f t="shared" si="1"/>
        <v>8600</v>
      </c>
    </row>
    <row r="7" spans="2:9" x14ac:dyDescent="0.15">
      <c r="B7" s="275">
        <v>45690</v>
      </c>
      <c r="C7" s="181"/>
      <c r="D7" s="189"/>
      <c r="E7" s="76"/>
      <c r="F7" s="336">
        <f t="shared" si="0"/>
        <v>0</v>
      </c>
      <c r="G7" s="383"/>
      <c r="H7" s="169">
        <f t="shared" si="1"/>
        <v>0</v>
      </c>
    </row>
    <row r="8" spans="2:9" x14ac:dyDescent="0.15">
      <c r="B8" s="275">
        <v>45691</v>
      </c>
      <c r="C8" s="181">
        <v>867029358</v>
      </c>
      <c r="D8" s="189">
        <v>4000</v>
      </c>
      <c r="E8" s="76"/>
      <c r="F8" s="336">
        <f t="shared" si="0"/>
        <v>4000</v>
      </c>
      <c r="G8" s="383">
        <v>4600</v>
      </c>
      <c r="H8" s="169">
        <f t="shared" si="1"/>
        <v>8600</v>
      </c>
    </row>
    <row r="9" spans="2:9" x14ac:dyDescent="0.15">
      <c r="B9" s="275">
        <v>45691</v>
      </c>
      <c r="C9" s="181"/>
      <c r="D9" s="189"/>
      <c r="E9" s="76"/>
      <c r="F9" s="336">
        <f t="shared" si="0"/>
        <v>0</v>
      </c>
      <c r="G9" s="383"/>
      <c r="H9" s="169">
        <f t="shared" si="1"/>
        <v>0</v>
      </c>
    </row>
    <row r="10" spans="2:9" x14ac:dyDescent="0.15">
      <c r="B10" s="275">
        <v>45692</v>
      </c>
      <c r="C10" s="181">
        <v>867029175</v>
      </c>
      <c r="D10" s="189">
        <v>2800</v>
      </c>
      <c r="E10" s="76"/>
      <c r="F10" s="336">
        <f t="shared" si="0"/>
        <v>2800</v>
      </c>
      <c r="G10" s="383">
        <v>5800</v>
      </c>
      <c r="H10" s="169">
        <f t="shared" si="1"/>
        <v>8600</v>
      </c>
    </row>
    <row r="11" spans="2:9" x14ac:dyDescent="0.15">
      <c r="B11" s="275">
        <v>45692</v>
      </c>
      <c r="C11" s="181"/>
      <c r="D11" s="189"/>
      <c r="E11" s="76"/>
      <c r="F11" s="336">
        <f t="shared" si="0"/>
        <v>0</v>
      </c>
      <c r="G11" s="383"/>
      <c r="H11" s="169">
        <f t="shared" si="1"/>
        <v>0</v>
      </c>
    </row>
    <row r="12" spans="2:9" x14ac:dyDescent="0.15">
      <c r="B12" s="275">
        <v>45693</v>
      </c>
      <c r="C12" s="181">
        <v>867031351</v>
      </c>
      <c r="D12" s="189">
        <v>2800</v>
      </c>
      <c r="E12" s="76">
        <v>1800</v>
      </c>
      <c r="F12" s="367">
        <f t="shared" si="0"/>
        <v>4600</v>
      </c>
      <c r="G12" s="383">
        <v>3500</v>
      </c>
      <c r="H12" s="169">
        <f t="shared" si="1"/>
        <v>8100</v>
      </c>
    </row>
    <row r="13" spans="2:9" x14ac:dyDescent="0.15">
      <c r="B13" s="275">
        <v>45693</v>
      </c>
      <c r="C13" s="181"/>
      <c r="D13" s="189"/>
      <c r="E13" s="76"/>
      <c r="F13" s="336">
        <f t="shared" si="0"/>
        <v>0</v>
      </c>
      <c r="G13" s="383"/>
      <c r="H13" s="169">
        <f t="shared" si="1"/>
        <v>0</v>
      </c>
    </row>
    <row r="14" spans="2:9" x14ac:dyDescent="0.15">
      <c r="B14" s="275">
        <v>45694</v>
      </c>
      <c r="C14" s="181">
        <v>867034431</v>
      </c>
      <c r="D14" s="189"/>
      <c r="E14" s="76"/>
      <c r="F14" s="336">
        <f t="shared" si="0"/>
        <v>0</v>
      </c>
      <c r="G14" s="383">
        <v>5200</v>
      </c>
      <c r="H14" s="169">
        <f t="shared" si="1"/>
        <v>5200</v>
      </c>
      <c r="I14" s="146"/>
    </row>
    <row r="15" spans="2:9" x14ac:dyDescent="0.15">
      <c r="B15" s="275">
        <v>45694</v>
      </c>
      <c r="C15" s="181">
        <v>867033982</v>
      </c>
      <c r="D15" s="189">
        <v>4600</v>
      </c>
      <c r="E15" s="76"/>
      <c r="F15" s="336">
        <f t="shared" si="0"/>
        <v>4600</v>
      </c>
      <c r="G15" s="383">
        <v>3500</v>
      </c>
      <c r="H15" s="169">
        <f t="shared" si="1"/>
        <v>8100</v>
      </c>
      <c r="I15" s="146"/>
    </row>
    <row r="16" spans="2:9" x14ac:dyDescent="0.15">
      <c r="B16" s="275">
        <v>45695</v>
      </c>
      <c r="C16" s="181">
        <v>867040093</v>
      </c>
      <c r="D16" s="189">
        <v>4600</v>
      </c>
      <c r="E16" s="76"/>
      <c r="F16" s="336">
        <f t="shared" si="0"/>
        <v>4600</v>
      </c>
      <c r="G16" s="383">
        <v>3500</v>
      </c>
      <c r="H16" s="169">
        <f t="shared" si="1"/>
        <v>8100</v>
      </c>
      <c r="I16" s="146"/>
    </row>
    <row r="17" spans="2:15" x14ac:dyDescent="0.15">
      <c r="B17" s="275">
        <v>45695</v>
      </c>
      <c r="C17" s="181"/>
      <c r="D17" s="189"/>
      <c r="E17" s="76"/>
      <c r="F17" s="336">
        <f t="shared" si="0"/>
        <v>0</v>
      </c>
      <c r="G17" s="383"/>
      <c r="H17" s="169">
        <f t="shared" si="1"/>
        <v>0</v>
      </c>
    </row>
    <row r="18" spans="2:15" x14ac:dyDescent="0.15">
      <c r="B18" s="275">
        <v>45696</v>
      </c>
      <c r="C18" s="181"/>
      <c r="D18" s="189"/>
      <c r="E18" s="76"/>
      <c r="F18" s="336">
        <f t="shared" si="0"/>
        <v>0</v>
      </c>
      <c r="G18" s="383"/>
      <c r="H18" s="169">
        <f t="shared" si="1"/>
        <v>0</v>
      </c>
    </row>
    <row r="19" spans="2:15" x14ac:dyDescent="0.15">
      <c r="B19" s="275">
        <v>45696</v>
      </c>
      <c r="C19" s="181"/>
      <c r="D19" s="189"/>
      <c r="E19" s="76"/>
      <c r="F19" s="336">
        <f t="shared" si="0"/>
        <v>0</v>
      </c>
      <c r="G19" s="383"/>
      <c r="H19" s="169">
        <f t="shared" si="1"/>
        <v>0</v>
      </c>
    </row>
    <row r="20" spans="2:15" x14ac:dyDescent="0.15">
      <c r="B20" s="275">
        <v>45697</v>
      </c>
      <c r="C20" s="181">
        <v>867045369</v>
      </c>
      <c r="D20" s="189">
        <v>4600</v>
      </c>
      <c r="E20" s="76"/>
      <c r="F20" s="336">
        <f t="shared" si="0"/>
        <v>4600</v>
      </c>
      <c r="G20" s="383">
        <v>4000</v>
      </c>
      <c r="H20" s="169">
        <f t="shared" si="1"/>
        <v>8600</v>
      </c>
      <c r="O20" s="268"/>
    </row>
    <row r="21" spans="2:15" x14ac:dyDescent="0.15">
      <c r="B21" s="275">
        <v>45697</v>
      </c>
      <c r="C21" s="181"/>
      <c r="D21" s="189"/>
      <c r="E21" s="76"/>
      <c r="F21" s="336">
        <f t="shared" si="0"/>
        <v>0</v>
      </c>
      <c r="G21" s="383"/>
      <c r="H21" s="169">
        <f t="shared" si="1"/>
        <v>0</v>
      </c>
      <c r="O21" s="268"/>
    </row>
    <row r="22" spans="2:15" x14ac:dyDescent="0.15">
      <c r="B22" s="275">
        <v>45698</v>
      </c>
      <c r="C22" s="181">
        <v>867053993</v>
      </c>
      <c r="D22" s="189">
        <v>3700</v>
      </c>
      <c r="E22" s="76">
        <v>1500</v>
      </c>
      <c r="F22" s="336">
        <f t="shared" si="0"/>
        <v>5200</v>
      </c>
      <c r="G22" s="383"/>
      <c r="H22" s="169">
        <f t="shared" si="1"/>
        <v>5200</v>
      </c>
    </row>
    <row r="23" spans="2:15" x14ac:dyDescent="0.15">
      <c r="B23" s="275">
        <v>45698</v>
      </c>
      <c r="C23" s="181">
        <v>867051899</v>
      </c>
      <c r="D23" s="189"/>
      <c r="E23" s="76"/>
      <c r="F23" s="336">
        <f t="shared" si="0"/>
        <v>0</v>
      </c>
      <c r="G23" s="383">
        <v>5200</v>
      </c>
      <c r="H23" s="169">
        <f t="shared" si="1"/>
        <v>5200</v>
      </c>
    </row>
    <row r="24" spans="2:15" x14ac:dyDescent="0.15">
      <c r="B24" s="275">
        <v>45699</v>
      </c>
      <c r="C24" s="181">
        <v>867062026</v>
      </c>
      <c r="D24" s="189">
        <v>1800</v>
      </c>
      <c r="E24" s="76"/>
      <c r="F24" s="336">
        <f t="shared" si="0"/>
        <v>1800</v>
      </c>
      <c r="G24" s="383">
        <v>6800</v>
      </c>
      <c r="H24" s="169">
        <f t="shared" si="1"/>
        <v>8600</v>
      </c>
    </row>
    <row r="25" spans="2:15" x14ac:dyDescent="0.15">
      <c r="B25" s="275">
        <v>45699</v>
      </c>
      <c r="C25" s="181"/>
      <c r="D25" s="189"/>
      <c r="E25" s="76"/>
      <c r="F25" s="336">
        <f t="shared" si="0"/>
        <v>0</v>
      </c>
      <c r="G25" s="383"/>
      <c r="H25" s="169">
        <f t="shared" si="1"/>
        <v>0</v>
      </c>
    </row>
    <row r="26" spans="2:15" x14ac:dyDescent="0.15">
      <c r="B26" s="275">
        <v>45700</v>
      </c>
      <c r="C26" s="181">
        <v>867060096</v>
      </c>
      <c r="D26" s="189">
        <v>4000</v>
      </c>
      <c r="E26" s="76"/>
      <c r="F26" s="336">
        <f t="shared" si="0"/>
        <v>4000</v>
      </c>
      <c r="G26" s="383">
        <v>4600</v>
      </c>
      <c r="H26" s="169">
        <f t="shared" si="1"/>
        <v>8600</v>
      </c>
      <c r="O26" s="268"/>
    </row>
    <row r="27" spans="2:15" x14ac:dyDescent="0.15">
      <c r="B27" s="275">
        <v>45700</v>
      </c>
      <c r="C27" s="181"/>
      <c r="D27" s="189"/>
      <c r="E27" s="76"/>
      <c r="F27" s="336">
        <f t="shared" si="0"/>
        <v>0</v>
      </c>
      <c r="G27" s="383"/>
      <c r="H27" s="169">
        <f t="shared" si="1"/>
        <v>0</v>
      </c>
      <c r="O27" s="268"/>
    </row>
    <row r="28" spans="2:15" x14ac:dyDescent="0.15">
      <c r="B28" s="275">
        <v>45701</v>
      </c>
      <c r="C28" s="181">
        <v>867063566</v>
      </c>
      <c r="D28" s="189">
        <v>4000</v>
      </c>
      <c r="E28" s="76"/>
      <c r="F28" s="336">
        <f t="shared" si="0"/>
        <v>4000</v>
      </c>
      <c r="G28" s="383">
        <v>4600</v>
      </c>
      <c r="H28" s="169">
        <f t="shared" si="1"/>
        <v>8600</v>
      </c>
    </row>
    <row r="29" spans="2:15" x14ac:dyDescent="0.15">
      <c r="B29" s="275">
        <v>45701</v>
      </c>
      <c r="C29" s="181"/>
      <c r="D29" s="189"/>
      <c r="E29" s="76"/>
      <c r="F29" s="336">
        <f t="shared" si="0"/>
        <v>0</v>
      </c>
      <c r="G29" s="383"/>
      <c r="H29" s="169">
        <f t="shared" si="1"/>
        <v>0</v>
      </c>
    </row>
    <row r="30" spans="2:15" x14ac:dyDescent="0.15">
      <c r="B30" s="275">
        <v>45702</v>
      </c>
      <c r="C30" s="181">
        <v>867069675</v>
      </c>
      <c r="D30" s="189">
        <v>4600</v>
      </c>
      <c r="E30" s="76"/>
      <c r="F30" s="336">
        <f t="shared" si="0"/>
        <v>4600</v>
      </c>
      <c r="G30" s="383">
        <v>4000</v>
      </c>
      <c r="H30" s="169">
        <f t="shared" si="1"/>
        <v>8600</v>
      </c>
    </row>
    <row r="31" spans="2:15" x14ac:dyDescent="0.15">
      <c r="B31" s="275">
        <v>45702</v>
      </c>
      <c r="C31" s="181">
        <v>867069226</v>
      </c>
      <c r="D31" s="189">
        <v>2800</v>
      </c>
      <c r="E31" s="76">
        <v>1800</v>
      </c>
      <c r="F31" s="336">
        <f t="shared" si="0"/>
        <v>4600</v>
      </c>
      <c r="G31" s="383">
        <v>4000</v>
      </c>
      <c r="H31" s="169">
        <f t="shared" si="1"/>
        <v>8600</v>
      </c>
    </row>
    <row r="32" spans="2:15" x14ac:dyDescent="0.15">
      <c r="B32" s="275">
        <v>45703</v>
      </c>
      <c r="C32" s="181">
        <v>867075510</v>
      </c>
      <c r="D32" s="189">
        <v>4600</v>
      </c>
      <c r="E32" s="76"/>
      <c r="F32" s="336">
        <f t="shared" si="0"/>
        <v>4600</v>
      </c>
      <c r="G32" s="383">
        <v>4000</v>
      </c>
      <c r="H32" s="169">
        <f t="shared" si="1"/>
        <v>8600</v>
      </c>
    </row>
    <row r="33" spans="2:9" x14ac:dyDescent="0.15">
      <c r="B33" s="275">
        <v>45703</v>
      </c>
      <c r="C33" s="181"/>
      <c r="D33" s="189"/>
      <c r="E33" s="76"/>
      <c r="F33" s="336">
        <f t="shared" si="0"/>
        <v>0</v>
      </c>
      <c r="G33" s="383"/>
      <c r="H33" s="169">
        <f t="shared" si="1"/>
        <v>0</v>
      </c>
    </row>
    <row r="34" spans="2:9" x14ac:dyDescent="0.15">
      <c r="B34" s="275">
        <v>45704</v>
      </c>
      <c r="C34" s="181"/>
      <c r="D34" s="189"/>
      <c r="E34" s="76"/>
      <c r="F34" s="336">
        <f t="shared" si="0"/>
        <v>0</v>
      </c>
      <c r="G34" s="383"/>
      <c r="H34" s="169">
        <f t="shared" si="1"/>
        <v>0</v>
      </c>
    </row>
    <row r="35" spans="2:9" x14ac:dyDescent="0.15">
      <c r="B35" s="275">
        <v>45704</v>
      </c>
      <c r="C35" s="181"/>
      <c r="D35" s="189"/>
      <c r="E35" s="76"/>
      <c r="F35" s="336">
        <f t="shared" si="0"/>
        <v>0</v>
      </c>
      <c r="G35" s="383"/>
      <c r="H35" s="169">
        <f t="shared" si="1"/>
        <v>0</v>
      </c>
    </row>
    <row r="36" spans="2:9" x14ac:dyDescent="0.15">
      <c r="B36" s="275">
        <v>45705</v>
      </c>
      <c r="C36" s="181">
        <v>867083937</v>
      </c>
      <c r="D36" s="189">
        <v>3300</v>
      </c>
      <c r="E36" s="76">
        <v>1800</v>
      </c>
      <c r="F36" s="336">
        <f t="shared" si="0"/>
        <v>5100</v>
      </c>
      <c r="G36" s="383">
        <v>3500</v>
      </c>
      <c r="H36" s="169">
        <f t="shared" si="1"/>
        <v>8600</v>
      </c>
    </row>
    <row r="37" spans="2:9" x14ac:dyDescent="0.15">
      <c r="B37" s="275">
        <v>45705</v>
      </c>
      <c r="C37" s="181">
        <v>867083434</v>
      </c>
      <c r="D37" s="189">
        <v>4600</v>
      </c>
      <c r="E37" s="76"/>
      <c r="F37" s="336">
        <f>+D37+E37</f>
        <v>4600</v>
      </c>
      <c r="G37" s="383">
        <v>3500</v>
      </c>
      <c r="H37" s="169">
        <f t="shared" si="1"/>
        <v>8100</v>
      </c>
      <c r="I37" s="146"/>
    </row>
    <row r="38" spans="2:9" x14ac:dyDescent="0.15">
      <c r="B38" s="275">
        <v>45706</v>
      </c>
      <c r="C38" s="181">
        <v>867084103</v>
      </c>
      <c r="D38" s="189">
        <v>1800</v>
      </c>
      <c r="E38" s="76"/>
      <c r="F38" s="336">
        <f>+D38+E38</f>
        <v>1800</v>
      </c>
      <c r="G38" s="383">
        <v>6800</v>
      </c>
      <c r="H38" s="169">
        <f t="shared" si="1"/>
        <v>8600</v>
      </c>
    </row>
    <row r="39" spans="2:9" x14ac:dyDescent="0.15">
      <c r="B39" s="275">
        <v>45706</v>
      </c>
      <c r="C39" s="181"/>
      <c r="D39" s="189"/>
      <c r="E39" s="76"/>
      <c r="F39" s="336">
        <f t="shared" si="0"/>
        <v>0</v>
      </c>
      <c r="G39" s="383"/>
      <c r="H39" s="169">
        <f t="shared" si="1"/>
        <v>0</v>
      </c>
    </row>
    <row r="40" spans="2:9" x14ac:dyDescent="0.15">
      <c r="B40" s="275">
        <v>45707</v>
      </c>
      <c r="C40" s="181"/>
      <c r="D40" s="189"/>
      <c r="E40" s="76"/>
      <c r="F40" s="336">
        <f t="shared" si="0"/>
        <v>0</v>
      </c>
      <c r="G40" s="383"/>
      <c r="H40" s="217">
        <f t="shared" si="1"/>
        <v>0</v>
      </c>
    </row>
    <row r="41" spans="2:9" x14ac:dyDescent="0.15">
      <c r="B41" s="275">
        <v>45707</v>
      </c>
      <c r="C41" s="181"/>
      <c r="D41" s="189"/>
      <c r="E41" s="76"/>
      <c r="F41" s="336">
        <f t="shared" si="0"/>
        <v>0</v>
      </c>
      <c r="G41" s="383"/>
      <c r="H41" s="217">
        <f t="shared" si="1"/>
        <v>0</v>
      </c>
    </row>
    <row r="42" spans="2:9" x14ac:dyDescent="0.15">
      <c r="B42" s="275">
        <v>45708</v>
      </c>
      <c r="C42" s="181">
        <v>867094878</v>
      </c>
      <c r="D42" s="189">
        <v>3500</v>
      </c>
      <c r="E42" s="76"/>
      <c r="F42" s="336">
        <f t="shared" si="0"/>
        <v>3500</v>
      </c>
      <c r="G42" s="383">
        <v>6300</v>
      </c>
      <c r="H42" s="169">
        <f t="shared" si="1"/>
        <v>9800</v>
      </c>
    </row>
    <row r="43" spans="2:9" x14ac:dyDescent="0.15">
      <c r="B43" s="275">
        <v>45708</v>
      </c>
      <c r="C43" s="181"/>
      <c r="D43" s="189"/>
      <c r="E43" s="76"/>
      <c r="F43" s="336">
        <f t="shared" si="0"/>
        <v>0</v>
      </c>
      <c r="G43" s="383"/>
      <c r="H43" s="169">
        <f t="shared" si="1"/>
        <v>0</v>
      </c>
    </row>
    <row r="44" spans="2:9" x14ac:dyDescent="0.15">
      <c r="B44" s="275">
        <v>45709</v>
      </c>
      <c r="C44" s="181">
        <v>867099527</v>
      </c>
      <c r="D44" s="189">
        <v>5800</v>
      </c>
      <c r="E44" s="76"/>
      <c r="F44" s="336">
        <f t="shared" si="0"/>
        <v>5800</v>
      </c>
      <c r="G44" s="383">
        <v>2800</v>
      </c>
      <c r="H44" s="169">
        <f t="shared" si="1"/>
        <v>8600</v>
      </c>
    </row>
    <row r="45" spans="2:9" x14ac:dyDescent="0.15">
      <c r="B45" s="275">
        <v>45709</v>
      </c>
      <c r="C45" s="181"/>
      <c r="D45" s="189"/>
      <c r="E45" s="76"/>
      <c r="F45" s="336">
        <f t="shared" si="0"/>
        <v>0</v>
      </c>
      <c r="G45" s="383"/>
      <c r="H45" s="169">
        <f t="shared" si="1"/>
        <v>0</v>
      </c>
    </row>
    <row r="46" spans="2:9" x14ac:dyDescent="0.15">
      <c r="B46" s="275">
        <v>45710</v>
      </c>
      <c r="C46" s="181">
        <v>867101512</v>
      </c>
      <c r="D46" s="189">
        <v>5800</v>
      </c>
      <c r="E46" s="76"/>
      <c r="F46" s="336">
        <f t="shared" si="0"/>
        <v>5800</v>
      </c>
      <c r="G46" s="383">
        <v>2800</v>
      </c>
      <c r="H46" s="217">
        <f t="shared" si="1"/>
        <v>8600</v>
      </c>
    </row>
    <row r="47" spans="2:9" x14ac:dyDescent="0.15">
      <c r="B47" s="275">
        <v>45710</v>
      </c>
      <c r="C47" s="181"/>
      <c r="D47" s="189"/>
      <c r="E47" s="76"/>
      <c r="F47" s="336">
        <f t="shared" si="0"/>
        <v>0</v>
      </c>
      <c r="G47" s="383"/>
      <c r="H47" s="169">
        <f t="shared" si="1"/>
        <v>0</v>
      </c>
      <c r="I47" s="146"/>
    </row>
    <row r="48" spans="2:9" x14ac:dyDescent="0.15">
      <c r="B48" s="275">
        <v>45711</v>
      </c>
      <c r="C48" s="181">
        <v>867099706</v>
      </c>
      <c r="D48" s="189">
        <v>3500</v>
      </c>
      <c r="E48" s="76">
        <v>1800</v>
      </c>
      <c r="F48" s="336">
        <f t="shared" si="0"/>
        <v>5300</v>
      </c>
      <c r="G48" s="383">
        <v>2800</v>
      </c>
      <c r="H48" s="169">
        <f t="shared" si="1"/>
        <v>8100</v>
      </c>
    </row>
    <row r="49" spans="2:8" x14ac:dyDescent="0.15">
      <c r="B49" s="275">
        <v>45711</v>
      </c>
      <c r="C49" s="181"/>
      <c r="D49" s="189"/>
      <c r="E49" s="76"/>
      <c r="F49" s="336">
        <f t="shared" si="0"/>
        <v>0</v>
      </c>
      <c r="G49" s="383"/>
      <c r="H49" s="169">
        <f t="shared" si="1"/>
        <v>0</v>
      </c>
    </row>
    <row r="50" spans="2:8" x14ac:dyDescent="0.15">
      <c r="B50" s="275">
        <v>45712</v>
      </c>
      <c r="C50" s="181">
        <v>9410634788</v>
      </c>
      <c r="D50" s="189">
        <v>4000</v>
      </c>
      <c r="E50" s="76"/>
      <c r="F50" s="336">
        <f t="shared" si="0"/>
        <v>4000</v>
      </c>
      <c r="G50" s="383">
        <v>4600</v>
      </c>
      <c r="H50" s="169">
        <f t="shared" si="1"/>
        <v>8600</v>
      </c>
    </row>
    <row r="51" spans="2:8" x14ac:dyDescent="0.15">
      <c r="B51" s="275">
        <v>45712</v>
      </c>
      <c r="C51" s="181"/>
      <c r="D51" s="189"/>
      <c r="E51" s="76"/>
      <c r="F51" s="336">
        <f t="shared" si="0"/>
        <v>0</v>
      </c>
      <c r="G51" s="383"/>
      <c r="H51" s="169">
        <f t="shared" si="1"/>
        <v>0</v>
      </c>
    </row>
    <row r="52" spans="2:8" x14ac:dyDescent="0.15">
      <c r="B52" s="275">
        <v>45713</v>
      </c>
      <c r="C52" s="181">
        <v>867109496</v>
      </c>
      <c r="D52" s="189">
        <v>2700</v>
      </c>
      <c r="E52" s="76"/>
      <c r="F52" s="336">
        <f t="shared" si="0"/>
        <v>2700</v>
      </c>
      <c r="G52" s="383">
        <v>5800</v>
      </c>
      <c r="H52" s="169">
        <f t="shared" si="1"/>
        <v>8500</v>
      </c>
    </row>
    <row r="53" spans="2:8" x14ac:dyDescent="0.15">
      <c r="B53" s="275">
        <v>45713</v>
      </c>
      <c r="C53" s="181"/>
      <c r="D53" s="189"/>
      <c r="E53" s="76"/>
      <c r="F53" s="336">
        <f t="shared" si="0"/>
        <v>0</v>
      </c>
      <c r="G53" s="383"/>
      <c r="H53" s="169">
        <f t="shared" si="1"/>
        <v>0</v>
      </c>
    </row>
    <row r="54" spans="2:8" x14ac:dyDescent="0.15">
      <c r="B54" s="275">
        <v>45714</v>
      </c>
      <c r="C54" s="181">
        <v>867112976</v>
      </c>
      <c r="D54" s="189">
        <v>2700</v>
      </c>
      <c r="E54" s="76">
        <v>1800</v>
      </c>
      <c r="F54" s="336">
        <f t="shared" si="0"/>
        <v>4500</v>
      </c>
      <c r="G54" s="383">
        <v>4000</v>
      </c>
      <c r="H54" s="169">
        <f t="shared" si="1"/>
        <v>8500</v>
      </c>
    </row>
    <row r="55" spans="2:8" x14ac:dyDescent="0.15">
      <c r="B55" s="275">
        <v>45714</v>
      </c>
      <c r="C55" s="181"/>
      <c r="D55" s="189"/>
      <c r="E55" s="76"/>
      <c r="F55" s="336">
        <f t="shared" si="0"/>
        <v>0</v>
      </c>
      <c r="G55" s="383"/>
      <c r="H55" s="169">
        <f t="shared" si="1"/>
        <v>0</v>
      </c>
    </row>
    <row r="56" spans="2:8" x14ac:dyDescent="0.15">
      <c r="B56" s="275">
        <v>45715</v>
      </c>
      <c r="C56" s="181">
        <v>867122879</v>
      </c>
      <c r="D56" s="189">
        <v>5200</v>
      </c>
      <c r="E56" s="76"/>
      <c r="F56" s="336">
        <f t="shared" si="0"/>
        <v>5200</v>
      </c>
      <c r="G56" s="383">
        <v>5300</v>
      </c>
      <c r="H56" s="169">
        <f t="shared" si="1"/>
        <v>10500</v>
      </c>
    </row>
    <row r="57" spans="2:8" x14ac:dyDescent="0.15">
      <c r="B57" s="275">
        <v>45715</v>
      </c>
      <c r="C57" s="181">
        <v>867127535</v>
      </c>
      <c r="D57" s="189">
        <v>3500</v>
      </c>
      <c r="E57" s="76"/>
      <c r="F57" s="336">
        <f t="shared" si="0"/>
        <v>3500</v>
      </c>
      <c r="G57" s="383">
        <v>6300</v>
      </c>
      <c r="H57" s="169">
        <f t="shared" si="1"/>
        <v>9800</v>
      </c>
    </row>
    <row r="58" spans="2:8" x14ac:dyDescent="0.15">
      <c r="B58" s="275">
        <v>45716</v>
      </c>
      <c r="C58" s="181">
        <v>867128321</v>
      </c>
      <c r="D58" s="189">
        <v>3500</v>
      </c>
      <c r="E58" s="76">
        <v>1800</v>
      </c>
      <c r="F58" s="336">
        <f t="shared" si="0"/>
        <v>5300</v>
      </c>
      <c r="G58" s="383">
        <v>2800</v>
      </c>
      <c r="H58" s="169">
        <f t="shared" si="1"/>
        <v>8100</v>
      </c>
    </row>
    <row r="59" spans="2:8" x14ac:dyDescent="0.15">
      <c r="B59" s="275">
        <v>45716</v>
      </c>
      <c r="C59" s="181"/>
      <c r="D59" s="189"/>
      <c r="E59" s="76"/>
      <c r="F59" s="336">
        <f t="shared" si="0"/>
        <v>0</v>
      </c>
      <c r="G59" s="383"/>
      <c r="H59" s="169">
        <f t="shared" si="1"/>
        <v>0</v>
      </c>
    </row>
    <row r="60" spans="2:8" x14ac:dyDescent="0.15">
      <c r="B60" s="275"/>
      <c r="C60" s="181"/>
      <c r="D60" s="189"/>
      <c r="E60" s="76"/>
      <c r="F60" s="336">
        <f t="shared" si="0"/>
        <v>0</v>
      </c>
      <c r="G60" s="383"/>
      <c r="H60" s="169">
        <f t="shared" si="1"/>
        <v>0</v>
      </c>
    </row>
    <row r="61" spans="2:8" x14ac:dyDescent="0.15">
      <c r="B61" s="275"/>
      <c r="C61" s="181"/>
      <c r="D61" s="189"/>
      <c r="E61" s="76"/>
      <c r="F61" s="336">
        <f t="shared" si="0"/>
        <v>0</v>
      </c>
      <c r="G61" s="383"/>
      <c r="H61" s="169">
        <f t="shared" si="1"/>
        <v>0</v>
      </c>
    </row>
    <row r="62" spans="2:8" x14ac:dyDescent="0.15">
      <c r="B62" s="276"/>
      <c r="C62" s="181"/>
      <c r="D62" s="189"/>
      <c r="E62" s="76"/>
      <c r="F62" s="336">
        <f t="shared" si="0"/>
        <v>0</v>
      </c>
      <c r="G62" s="383"/>
      <c r="H62" s="169">
        <f t="shared" si="1"/>
        <v>0</v>
      </c>
    </row>
    <row r="63" spans="2:8" x14ac:dyDescent="0.15">
      <c r="B63" s="276"/>
      <c r="C63" s="181"/>
      <c r="D63" s="189"/>
      <c r="E63" s="76"/>
      <c r="F63" s="336">
        <f t="shared" si="0"/>
        <v>0</v>
      </c>
      <c r="G63" s="383"/>
      <c r="H63" s="169">
        <f t="shared" si="1"/>
        <v>0</v>
      </c>
    </row>
    <row r="64" spans="2:8" x14ac:dyDescent="0.15">
      <c r="B64" s="276"/>
      <c r="C64" s="181"/>
      <c r="D64" s="189"/>
      <c r="E64" s="76"/>
      <c r="F64" s="336">
        <f t="shared" si="0"/>
        <v>0</v>
      </c>
      <c r="G64" s="383"/>
      <c r="H64" s="169">
        <f t="shared" si="1"/>
        <v>0</v>
      </c>
    </row>
    <row r="65" spans="2:8" ht="14" thickBot="1" x14ac:dyDescent="0.2">
      <c r="B65" s="277"/>
      <c r="C65" s="182"/>
      <c r="D65" s="190"/>
      <c r="E65" s="125"/>
      <c r="F65" s="336">
        <f t="shared" si="0"/>
        <v>0</v>
      </c>
      <c r="G65" s="389"/>
      <c r="H65" s="390">
        <f t="shared" si="1"/>
        <v>0</v>
      </c>
    </row>
    <row r="66" spans="2:8" x14ac:dyDescent="0.15">
      <c r="B66" s="584" t="s">
        <v>17</v>
      </c>
      <c r="C66" s="585"/>
      <c r="D66" s="179">
        <f>SUM(D4:D65)</f>
        <v>104600</v>
      </c>
      <c r="E66" s="179">
        <f>SUM(E4:E65)</f>
        <v>12300</v>
      </c>
      <c r="F66" s="330">
        <f>SUM(F4:F65)</f>
        <v>116900</v>
      </c>
      <c r="G66" s="329">
        <f>SUM(G4:G65)</f>
        <v>123400</v>
      </c>
      <c r="H66" s="28"/>
    </row>
    <row r="67" spans="2:8" x14ac:dyDescent="0.15">
      <c r="B67" s="581" t="s">
        <v>106</v>
      </c>
      <c r="C67" s="571"/>
      <c r="D67" s="76"/>
      <c r="E67" s="76"/>
      <c r="F67" s="270"/>
      <c r="G67" s="278"/>
      <c r="H67" s="28"/>
    </row>
    <row r="68" spans="2:8" ht="14" thickBot="1" x14ac:dyDescent="0.2">
      <c r="B68" s="588" t="s">
        <v>105</v>
      </c>
      <c r="C68" s="589"/>
      <c r="D68" s="298">
        <f>+D66-D67</f>
        <v>104600</v>
      </c>
      <c r="E68" s="298">
        <f>+E66-E67</f>
        <v>12300</v>
      </c>
      <c r="F68" s="279">
        <f>+F66-F67</f>
        <v>116900</v>
      </c>
      <c r="G68" s="280">
        <f>+G66-G67</f>
        <v>123400</v>
      </c>
    </row>
    <row r="69" spans="2:8" ht="14" thickBot="1" x14ac:dyDescent="0.2">
      <c r="B69" s="28"/>
      <c r="C69" s="28"/>
      <c r="D69" s="28"/>
      <c r="E69" s="28"/>
      <c r="F69" s="579">
        <f>+F68+G68</f>
        <v>240300</v>
      </c>
      <c r="G69" s="580"/>
    </row>
  </sheetData>
  <mergeCells count="7">
    <mergeCell ref="F69:G69"/>
    <mergeCell ref="B67:C67"/>
    <mergeCell ref="C2:C3"/>
    <mergeCell ref="B66:C66"/>
    <mergeCell ref="B2:B3"/>
    <mergeCell ref="B68:C68"/>
    <mergeCell ref="D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X46"/>
  <sheetViews>
    <sheetView zoomScale="120" zoomScaleNormal="120" workbookViewId="0">
      <selection activeCell="D36" sqref="D36"/>
    </sheetView>
  </sheetViews>
  <sheetFormatPr baseColWidth="10" defaultColWidth="10.83203125" defaultRowHeight="13" x14ac:dyDescent="0.15"/>
  <cols>
    <col min="2" max="2" width="3" bestFit="1" customWidth="1"/>
    <col min="3" max="3" width="3.6640625" bestFit="1" customWidth="1"/>
    <col min="4" max="4" width="8.83203125" bestFit="1" customWidth="1"/>
    <col min="5" max="5" width="11" bestFit="1" customWidth="1"/>
    <col min="6" max="8" width="8.83203125" bestFit="1" customWidth="1"/>
    <col min="9" max="9" width="9.83203125" bestFit="1" customWidth="1"/>
    <col min="10" max="10" width="11" bestFit="1" customWidth="1"/>
    <col min="11" max="11" width="7.6640625" bestFit="1" customWidth="1"/>
    <col min="12" max="12" width="8.1640625" bestFit="1" customWidth="1"/>
    <col min="13" max="13" width="5.6640625" bestFit="1" customWidth="1"/>
    <col min="14" max="14" width="8.1640625" bestFit="1" customWidth="1"/>
    <col min="15" max="15" width="11" bestFit="1" customWidth="1"/>
    <col min="16" max="16" width="7.33203125" bestFit="1" customWidth="1"/>
    <col min="17" max="17" width="8.1640625" bestFit="1" customWidth="1"/>
    <col min="18" max="18" width="5.6640625" bestFit="1" customWidth="1"/>
    <col min="19" max="19" width="6.83203125" bestFit="1" customWidth="1"/>
    <col min="20" max="20" width="9.1640625" bestFit="1" customWidth="1"/>
    <col min="21" max="21" width="5.83203125" bestFit="1" customWidth="1"/>
    <col min="23" max="23" width="21.6640625" bestFit="1" customWidth="1"/>
    <col min="24" max="24" width="30.5" bestFit="1" customWidth="1"/>
  </cols>
  <sheetData>
    <row r="1" spans="2:24" ht="14" thickBot="1" x14ac:dyDescent="0.2"/>
    <row r="2" spans="2:24" ht="14" thickBot="1" x14ac:dyDescent="0.2">
      <c r="D2" s="572" t="s">
        <v>28</v>
      </c>
      <c r="E2" s="573"/>
      <c r="F2" s="573"/>
      <c r="G2" s="573"/>
      <c r="H2" s="573"/>
      <c r="I2" s="573"/>
      <c r="J2" s="573"/>
      <c r="K2" s="573"/>
      <c r="L2" s="573"/>
      <c r="M2" s="573"/>
      <c r="N2" s="573"/>
      <c r="O2" s="573"/>
      <c r="P2" s="573"/>
      <c r="Q2" s="573"/>
      <c r="R2" s="574"/>
      <c r="S2" s="572" t="s">
        <v>92</v>
      </c>
      <c r="T2" s="573"/>
      <c r="U2" s="573"/>
      <c r="V2" s="573"/>
      <c r="W2" s="573"/>
      <c r="X2" s="574"/>
    </row>
    <row r="3" spans="2:24" ht="24" customHeight="1" thickBot="1" x14ac:dyDescent="0.2">
      <c r="B3" s="597" t="s">
        <v>1</v>
      </c>
      <c r="C3" s="598"/>
      <c r="D3" s="395" t="s">
        <v>90</v>
      </c>
      <c r="E3" s="396" t="s">
        <v>91</v>
      </c>
      <c r="F3" s="396" t="s">
        <v>56</v>
      </c>
      <c r="G3" s="396" t="s">
        <v>57</v>
      </c>
      <c r="H3" s="397" t="s">
        <v>58</v>
      </c>
      <c r="I3" s="398" t="s">
        <v>90</v>
      </c>
      <c r="J3" s="399" t="s">
        <v>91</v>
      </c>
      <c r="K3" s="399" t="s">
        <v>56</v>
      </c>
      <c r="L3" s="399" t="s">
        <v>57</v>
      </c>
      <c r="M3" s="400" t="s">
        <v>58</v>
      </c>
      <c r="N3" s="401" t="s">
        <v>90</v>
      </c>
      <c r="O3" s="402" t="s">
        <v>91</v>
      </c>
      <c r="P3" s="402" t="s">
        <v>56</v>
      </c>
      <c r="Q3" s="402" t="s">
        <v>57</v>
      </c>
      <c r="R3" s="403" t="s">
        <v>58</v>
      </c>
      <c r="S3" s="191" t="s">
        <v>59</v>
      </c>
      <c r="T3" s="192" t="s">
        <v>63</v>
      </c>
      <c r="U3" s="193" t="s">
        <v>60</v>
      </c>
      <c r="V3" s="194" t="s">
        <v>61</v>
      </c>
      <c r="W3" s="195" t="s">
        <v>64</v>
      </c>
      <c r="X3" s="196" t="s">
        <v>62</v>
      </c>
    </row>
    <row r="4" spans="2:24" x14ac:dyDescent="0.15">
      <c r="B4" s="23">
        <v>1</v>
      </c>
      <c r="C4" s="24" t="s">
        <v>12</v>
      </c>
      <c r="D4" s="186">
        <f>+'G. Corriente'!I7</f>
        <v>26.469999999999345</v>
      </c>
      <c r="E4" s="135">
        <f>+'G. Corriente'!J7</f>
        <v>26.469999999999345</v>
      </c>
      <c r="F4" s="184">
        <f>IF(D4=0,0,D4/'G. Corriente'!E7)</f>
        <v>5.9843146298065777E-3</v>
      </c>
      <c r="G4" s="184">
        <f>+E4/'G. Corriente'!$E$38</f>
        <v>2.5134145310871822E-4</v>
      </c>
      <c r="H4" s="165"/>
      <c r="I4" s="186">
        <f>+Bioacem!I7</f>
        <v>-0.45299999999951979</v>
      </c>
      <c r="J4" s="135">
        <f>+Bioacem!J7</f>
        <v>-0.45299999999951979</v>
      </c>
      <c r="K4" s="184">
        <f>IF(I4=0,0,I4/Bioacem!E7)</f>
        <v>-3.6082966927891398E-4</v>
      </c>
      <c r="L4" s="184">
        <f>J4/Bioacem!$E$38</f>
        <v>-3.7210347630856584E-6</v>
      </c>
      <c r="M4" s="165"/>
      <c r="N4" s="186">
        <f>+'G. Extra'!I7</f>
        <v>-8.5389999999997599</v>
      </c>
      <c r="O4" s="135">
        <f>+'G. Extra'!J7</f>
        <v>-8.5389999999997599</v>
      </c>
      <c r="P4" s="184">
        <f>IF(N4=0,0,N4/'G. Extra'!E7)</f>
        <v>-1.8032648406647436E-2</v>
      </c>
      <c r="Q4" s="184">
        <f>+O4/'G. Extra'!$E$38</f>
        <v>-7.3255390992819078E-4</v>
      </c>
      <c r="R4" s="165"/>
      <c r="S4" s="183">
        <f>+'G. Corriente'!F7</f>
        <v>0</v>
      </c>
      <c r="T4" s="90">
        <f>+Bioacem!F7</f>
        <v>0</v>
      </c>
      <c r="U4" s="165">
        <f>+'G. Extra'!F7</f>
        <v>0</v>
      </c>
      <c r="V4" s="188"/>
      <c r="W4" s="137"/>
      <c r="X4" s="185"/>
    </row>
    <row r="5" spans="2:24" x14ac:dyDescent="0.15">
      <c r="B5" s="18">
        <v>2</v>
      </c>
      <c r="C5" s="25" t="s">
        <v>13</v>
      </c>
      <c r="D5" s="187">
        <f>+'G. Corriente'!I8</f>
        <v>26.65099999999984</v>
      </c>
      <c r="E5" s="107">
        <f>+'G. Corriente'!J8</f>
        <v>53.120999999999185</v>
      </c>
      <c r="F5" s="102">
        <f>IF(D5=0,0,D5/'G. Corriente'!E8)</f>
        <v>9.597911227153989E-3</v>
      </c>
      <c r="G5" s="102">
        <f>+E5/'G. Corriente'!$E$38</f>
        <v>5.0440156141248001E-4</v>
      </c>
      <c r="H5" s="111"/>
      <c r="I5" s="187">
        <f>+Bioacem!I8</f>
        <v>1755.616</v>
      </c>
      <c r="J5" s="107">
        <f>+Bioacem!J8</f>
        <v>1755.1630000000005</v>
      </c>
      <c r="K5" s="102">
        <f>IF(I5=0,0,I5/Bioacem!E8)</f>
        <v>0.3316130762706902</v>
      </c>
      <c r="L5" s="102">
        <f>J5/Bioacem!$E$38</f>
        <v>1.4417268295559909E-2</v>
      </c>
      <c r="M5" s="111"/>
      <c r="N5" s="187">
        <f>+'G. Extra'!I8</f>
        <v>32.449000000000069</v>
      </c>
      <c r="O5" s="107">
        <f>+'G. Extra'!J8</f>
        <v>23.910000000000309</v>
      </c>
      <c r="P5" s="102">
        <f>IF(N5=0,0,N5/'G. Extra'!E8)</f>
        <v>0.15066629521288977</v>
      </c>
      <c r="Q5" s="102">
        <f>+O5/'G. Extra'!$E$38</f>
        <v>2.0512195791525661E-3</v>
      </c>
      <c r="R5" s="111"/>
      <c r="S5" s="163">
        <f>+'G. Corriente'!F8</f>
        <v>5800</v>
      </c>
      <c r="T5" s="78">
        <f>+Bioacem!F8</f>
        <v>2800</v>
      </c>
      <c r="U5" s="111">
        <f>+'G. Extra'!F8</f>
        <v>0</v>
      </c>
      <c r="V5" s="189"/>
      <c r="W5" s="76"/>
      <c r="X5" s="181"/>
    </row>
    <row r="6" spans="2:24" x14ac:dyDescent="0.15">
      <c r="B6" s="18">
        <v>3</v>
      </c>
      <c r="C6" s="25" t="s">
        <v>14</v>
      </c>
      <c r="D6" s="187">
        <f>+'G. Corriente'!I9</f>
        <v>60.859999999999673</v>
      </c>
      <c r="E6" s="107">
        <f>+'G. Corriente'!J9</f>
        <v>113.98099999999886</v>
      </c>
      <c r="F6" s="102">
        <f>IF(D6=0,0,D6/'G. Corriente'!E9)</f>
        <v>2.1666458997134045E-2</v>
      </c>
      <c r="G6" s="102">
        <f>+E6/'G. Corriente'!$E$38</f>
        <v>1.0822875015785883E-3</v>
      </c>
      <c r="H6" s="111"/>
      <c r="I6" s="187">
        <f>+Bioacem!I9</f>
        <v>-1548.4599999999991</v>
      </c>
      <c r="J6" s="107">
        <f>+Bioacem!J9</f>
        <v>206.70300000000134</v>
      </c>
      <c r="K6" s="102">
        <f>IF(I6=0,0,I6/Bioacem!E9)</f>
        <v>-0.29274111828672528</v>
      </c>
      <c r="L6" s="102">
        <f>J6/Bioacem!$E$38</f>
        <v>1.6979007696134995E-3</v>
      </c>
      <c r="M6" s="111"/>
      <c r="N6" s="187">
        <f>+'G. Extra'!I9</f>
        <v>30.039999999999964</v>
      </c>
      <c r="O6" s="107">
        <f>+'G. Extra'!J9</f>
        <v>53.950000000000273</v>
      </c>
      <c r="P6" s="102">
        <f>IF(N6=0,0,N6/'G. Extra'!E9)</f>
        <v>9.0402961268771134E-2</v>
      </c>
      <c r="Q6" s="102">
        <f>+O6/'G. Extra'!$E$38</f>
        <v>4.6283269048632402E-3</v>
      </c>
      <c r="R6" s="111"/>
      <c r="S6" s="163">
        <f>+'G. Corriente'!F9</f>
        <v>4000</v>
      </c>
      <c r="T6" s="78">
        <f>+Bioacem!F9</f>
        <v>4600</v>
      </c>
      <c r="U6" s="111">
        <f>+'G. Extra'!F9</f>
        <v>0</v>
      </c>
      <c r="V6" s="189"/>
      <c r="W6" s="76"/>
      <c r="X6" s="181"/>
    </row>
    <row r="7" spans="2:24" x14ac:dyDescent="0.15">
      <c r="B7" s="18">
        <v>4</v>
      </c>
      <c r="C7" s="25" t="s">
        <v>9</v>
      </c>
      <c r="D7" s="187">
        <f>+'G. Corriente'!I10</f>
        <v>-85.759999999999309</v>
      </c>
      <c r="E7" s="107">
        <f>+'G. Corriente'!J10</f>
        <v>28.220999999999549</v>
      </c>
      <c r="F7" s="102">
        <f>IF(D7=0,0,D7/'G. Corriente'!E10)</f>
        <v>-3.0003008697233855E-2</v>
      </c>
      <c r="G7" s="102">
        <f>+E7/'G. Corriente'!$E$38</f>
        <v>2.6796778043752166E-4</v>
      </c>
      <c r="H7" s="111"/>
      <c r="I7" s="187">
        <f>+Bioacem!I10</f>
        <v>-60.913000000000466</v>
      </c>
      <c r="J7" s="107">
        <f>+Bioacem!J10</f>
        <v>145.79000000000087</v>
      </c>
      <c r="K7" s="102">
        <f>IF(I7=0,0,I7/Bioacem!E10)</f>
        <v>-1.0911126436369909E-2</v>
      </c>
      <c r="L7" s="102">
        <f>J7/Bioacem!$E$38</f>
        <v>1.1975489141519569E-3</v>
      </c>
      <c r="M7" s="111"/>
      <c r="N7" s="187">
        <f>+'G. Extra'!I10</f>
        <v>-82.67999999999995</v>
      </c>
      <c r="O7" s="107">
        <f>+'G. Extra'!J10</f>
        <v>-28.729999999999677</v>
      </c>
      <c r="P7" s="102">
        <f>IF(N7=0,0,N7/'G. Extra'!E10)</f>
        <v>-0.27522386072367744</v>
      </c>
      <c r="Q7" s="102">
        <f>+O7/'G. Extra'!$E$38</f>
        <v>-2.4647234842765284E-3</v>
      </c>
      <c r="R7" s="111"/>
      <c r="S7" s="163">
        <f>+'G. Corriente'!F10</f>
        <v>2800</v>
      </c>
      <c r="T7" s="78">
        <f>+Bioacem!F10</f>
        <v>5800</v>
      </c>
      <c r="U7" s="111">
        <f>+'G. Extra'!F10</f>
        <v>0</v>
      </c>
      <c r="V7" s="189"/>
      <c r="W7" s="76"/>
      <c r="X7" s="181"/>
    </row>
    <row r="8" spans="2:24" x14ac:dyDescent="0.15">
      <c r="B8" s="18">
        <v>5</v>
      </c>
      <c r="C8" s="25" t="s">
        <v>9</v>
      </c>
      <c r="D8" s="187">
        <f>+'G. Corriente'!I11</f>
        <v>-89.320999999999913</v>
      </c>
      <c r="E8" s="107">
        <f>+'G. Corriente'!J11</f>
        <v>-61.100000000000364</v>
      </c>
      <c r="F8" s="102">
        <f>IF(D8=0,0,D8/'G. Corriente'!E11)</f>
        <v>-6.3987649633572299E-2</v>
      </c>
      <c r="G8" s="102">
        <f>+E8/'G. Corriente'!$E$38</f>
        <v>-5.8016481998274098E-4</v>
      </c>
      <c r="H8" s="111"/>
      <c r="I8" s="187">
        <f>+Bioacem!I11</f>
        <v>-5.5900000000001455</v>
      </c>
      <c r="J8" s="107">
        <f>+Bioacem!J11</f>
        <v>140.20000000000073</v>
      </c>
      <c r="K8" s="102">
        <f>IF(I8=0,0,I8/Bioacem!E11)</f>
        <v>-9.8739525485045049E-4</v>
      </c>
      <c r="L8" s="102">
        <f>J8/Bioacem!$E$38</f>
        <v>1.1516315094595255E-3</v>
      </c>
      <c r="M8" s="111"/>
      <c r="N8" s="187">
        <f>+'G. Extra'!I11</f>
        <v>-34.108999999999924</v>
      </c>
      <c r="O8" s="107">
        <f>+'G. Extra'!J11</f>
        <v>-62.838999999999601</v>
      </c>
      <c r="P8" s="102">
        <f>IF(N8=0,0,N8/'G. Extra'!E11)</f>
        <v>-0.39565015659436176</v>
      </c>
      <c r="Q8" s="102">
        <f>+O8/'G. Extra'!$E$38</f>
        <v>-5.3909070319684491E-3</v>
      </c>
      <c r="R8" s="111"/>
      <c r="S8" s="163">
        <f>+'G. Corriente'!F11</f>
        <v>2800</v>
      </c>
      <c r="T8" s="78">
        <f>+Bioacem!F11</f>
        <v>3500</v>
      </c>
      <c r="U8" s="111">
        <f>+'G. Extra'!F11</f>
        <v>1800</v>
      </c>
      <c r="V8" s="189"/>
      <c r="W8" s="76"/>
      <c r="X8" s="181"/>
    </row>
    <row r="9" spans="2:24" x14ac:dyDescent="0.15">
      <c r="B9" s="18">
        <v>6</v>
      </c>
      <c r="C9" s="25" t="s">
        <v>10</v>
      </c>
      <c r="D9" s="187">
        <f>+'G. Corriente'!I12</f>
        <v>-55.769000000000233</v>
      </c>
      <c r="E9" s="107">
        <f>+'G. Corriente'!J12</f>
        <v>-116.8690000000006</v>
      </c>
      <c r="F9" s="102">
        <f>IF(D9=0,0,D9/'G. Corriente'!E12)</f>
        <v>-1.4496713031679207E-2</v>
      </c>
      <c r="G9" s="102">
        <f>+E9/'G. Corriente'!$E$38</f>
        <v>-1.1097100220386726E-3</v>
      </c>
      <c r="H9" s="111"/>
      <c r="I9" s="187">
        <f>+Bioacem!I12</f>
        <v>-254.67400000000271</v>
      </c>
      <c r="J9" s="107">
        <f>+Bioacem!J12</f>
        <v>-114.47400000000198</v>
      </c>
      <c r="K9" s="102">
        <f>IF(I9=0,0,I9/Bioacem!E12)</f>
        <v>-5.7310217877573309E-2</v>
      </c>
      <c r="L9" s="102">
        <f>J9/Bioacem!$E$38</f>
        <v>-9.4031287741705644E-4</v>
      </c>
      <c r="M9" s="111"/>
      <c r="N9" s="187">
        <f>+'G. Extra'!I12</f>
        <v>83.699000000000069</v>
      </c>
      <c r="O9" s="107">
        <f>+'G. Extra'!J12</f>
        <v>20.860000000000468</v>
      </c>
      <c r="P9" s="102">
        <f>IF(N9=0,0,N9/'G. Extra'!E12)</f>
        <v>0.25276016186507239</v>
      </c>
      <c r="Q9" s="102">
        <f>+O9/'G. Extra'!$E$38</f>
        <v>1.7895625437525276E-3</v>
      </c>
      <c r="R9" s="111"/>
      <c r="S9" s="163">
        <f>+'G. Corriente'!F12</f>
        <v>4600</v>
      </c>
      <c r="T9" s="78">
        <f>+Bioacem!F12</f>
        <v>8700</v>
      </c>
      <c r="U9" s="111">
        <f>+'G. Extra'!F12</f>
        <v>0</v>
      </c>
      <c r="V9" s="189"/>
      <c r="W9" s="76"/>
      <c r="X9" s="181"/>
    </row>
    <row r="10" spans="2:24" x14ac:dyDescent="0.15">
      <c r="B10" s="18">
        <v>7</v>
      </c>
      <c r="C10" s="25" t="s">
        <v>11</v>
      </c>
      <c r="D10" s="187">
        <f>+'G. Corriente'!I13</f>
        <v>6.5090000000000146</v>
      </c>
      <c r="E10" s="107">
        <f>+'G. Corriente'!J13</f>
        <v>-110.36000000000058</v>
      </c>
      <c r="F10" s="102">
        <f>IF(D10=0,0,D10/'G. Corriente'!E13)</f>
        <v>1.348749987049185E-3</v>
      </c>
      <c r="G10" s="102">
        <f>+E10/'G. Corriente'!$E$38</f>
        <v>-1.0479049023452579E-3</v>
      </c>
      <c r="H10" s="111"/>
      <c r="I10" s="187">
        <f>+Bioacem!I13</f>
        <v>361.58200000000033</v>
      </c>
      <c r="J10" s="107">
        <f>+Bioacem!J13</f>
        <v>247.10799999999836</v>
      </c>
      <c r="K10" s="102">
        <f>IF(I10=0,0,I10/Bioacem!E13)</f>
        <v>8.611227542058042E-2</v>
      </c>
      <c r="L10" s="102">
        <f>J10/Bioacem!$E$38</f>
        <v>2.0297957135486525E-3</v>
      </c>
      <c r="M10" s="111"/>
      <c r="N10" s="187">
        <f>+'G. Extra'!I13</f>
        <v>-10.020000000000209</v>
      </c>
      <c r="O10" s="107">
        <f>+'G. Extra'!J13</f>
        <v>10.840000000000259</v>
      </c>
      <c r="P10" s="102">
        <f>IF(N10=0,0,N10/'G. Extra'!E13)</f>
        <v>-1.5218943179574734E-2</v>
      </c>
      <c r="Q10" s="102">
        <f>+O10/'G. Extra'!$E$38</f>
        <v>9.2995484056938773E-4</v>
      </c>
      <c r="R10" s="111"/>
      <c r="S10" s="163">
        <f>+'G. Corriente'!F13</f>
        <v>4600</v>
      </c>
      <c r="T10" s="78">
        <f>+Bioacem!F13</f>
        <v>3500</v>
      </c>
      <c r="U10" s="111">
        <f>+'G. Extra'!F13</f>
        <v>0</v>
      </c>
      <c r="V10" s="189"/>
      <c r="W10" s="76"/>
      <c r="X10" s="181"/>
    </row>
    <row r="11" spans="2:24" x14ac:dyDescent="0.15">
      <c r="B11" s="18">
        <v>8</v>
      </c>
      <c r="C11" s="25" t="s">
        <v>12</v>
      </c>
      <c r="D11" s="187">
        <f>+'G. Corriente'!I14</f>
        <v>204.03000000000065</v>
      </c>
      <c r="E11" s="107">
        <f>+'G. Corriente'!J14</f>
        <v>93.670000000000073</v>
      </c>
      <c r="F11" s="102">
        <f>IF(D11=0,0,D11/'G. Corriente'!E14)</f>
        <v>4.6122754389494751E-2</v>
      </c>
      <c r="G11" s="102">
        <f>+E11/'G. Corriente'!$E$38</f>
        <v>8.8942780176404365E-4</v>
      </c>
      <c r="H11" s="111"/>
      <c r="I11" s="187">
        <f>+Bioacem!I14</f>
        <v>211.89999999999964</v>
      </c>
      <c r="J11" s="107">
        <f>+Bioacem!J14</f>
        <v>459.00799999999799</v>
      </c>
      <c r="K11" s="102">
        <f>IF(I11=0,0,I11/Bioacem!E14)</f>
        <v>0.11951292420319996</v>
      </c>
      <c r="L11" s="102">
        <f>J11/Bioacem!$E$38</f>
        <v>3.7703857053779802E-3</v>
      </c>
      <c r="M11" s="111"/>
      <c r="N11" s="187">
        <f>+'G. Extra'!I14</f>
        <v>32.269999999999982</v>
      </c>
      <c r="O11" s="107">
        <f>+'G. Extra'!J14</f>
        <v>43.110000000000241</v>
      </c>
      <c r="P11" s="102">
        <f>IF(N11=0,0,N11/'G. Extra'!E14)</f>
        <v>7.8133701363163083E-2</v>
      </c>
      <c r="Q11" s="102">
        <f>+O11/'G. Extra'!$E$38</f>
        <v>3.6983720642938716E-3</v>
      </c>
      <c r="R11" s="111"/>
      <c r="S11" s="163">
        <f>+'G. Corriente'!F14</f>
        <v>0</v>
      </c>
      <c r="T11" s="78">
        <f>+Bioacem!F14</f>
        <v>0</v>
      </c>
      <c r="U11" s="111">
        <f>+'G. Extra'!F14</f>
        <v>0</v>
      </c>
      <c r="V11" s="189"/>
      <c r="W11" s="76"/>
      <c r="X11" s="181"/>
    </row>
    <row r="12" spans="2:24" x14ac:dyDescent="0.15">
      <c r="B12" s="18">
        <v>9</v>
      </c>
      <c r="C12" s="25" t="s">
        <v>13</v>
      </c>
      <c r="D12" s="187">
        <f>+'G. Corriente'!I15</f>
        <v>-61.78899999999885</v>
      </c>
      <c r="E12" s="107">
        <f>+'G. Corriente'!J15</f>
        <v>31.881000000001222</v>
      </c>
      <c r="F12" s="102">
        <f>IF(D12=0,0,D12/'G. Corriente'!E15)</f>
        <v>-1.919550906667708E-2</v>
      </c>
      <c r="G12" s="102">
        <f>+E12/'G. Corriente'!$E$38</f>
        <v>3.0272069764108615E-4</v>
      </c>
      <c r="H12" s="111"/>
      <c r="I12" s="187">
        <f>+Bioacem!I15</f>
        <v>-176.66399999999976</v>
      </c>
      <c r="J12" s="107">
        <f>+Bioacem!J15</f>
        <v>282.34399999999823</v>
      </c>
      <c r="K12" s="102">
        <f>IF(I12=0,0,I12/Bioacem!E15)</f>
        <v>-3.5966090929079181E-2</v>
      </c>
      <c r="L12" s="102">
        <f>J12/Bioacem!$E$38</f>
        <v>2.3192314330016872E-3</v>
      </c>
      <c r="M12" s="111"/>
      <c r="N12" s="187">
        <f>+'G. Extra'!I15</f>
        <v>23.710000000000036</v>
      </c>
      <c r="O12" s="107">
        <f>+'G. Extra'!J15</f>
        <v>66.820000000000277</v>
      </c>
      <c r="P12" s="102">
        <f>IF(N12=0,0,N12/'G. Extra'!E15)</f>
        <v>8.1727620557719607E-2</v>
      </c>
      <c r="Q12" s="102">
        <f>+O12/'G. Extra'!$E$38</f>
        <v>5.7324338050595254E-3</v>
      </c>
      <c r="R12" s="111"/>
      <c r="S12" s="163">
        <f>+'G. Corriente'!F15</f>
        <v>4600</v>
      </c>
      <c r="T12" s="78">
        <f>+Bioacem!F15</f>
        <v>4000</v>
      </c>
      <c r="U12" s="111">
        <f>+'G. Extra'!F15</f>
        <v>0</v>
      </c>
      <c r="V12" s="189"/>
      <c r="W12" s="76"/>
      <c r="X12" s="181"/>
    </row>
    <row r="13" spans="2:24" x14ac:dyDescent="0.15">
      <c r="B13" s="18">
        <v>10</v>
      </c>
      <c r="C13" s="25" t="s">
        <v>14</v>
      </c>
      <c r="D13" s="187">
        <f>+'G. Corriente'!I16</f>
        <v>-30.730999999999767</v>
      </c>
      <c r="E13" s="107">
        <f>+'G. Corriente'!J16</f>
        <v>1.1500000000014552</v>
      </c>
      <c r="F13" s="102">
        <f>IF(D13=0,0,D13/'G. Corriente'!E16)</f>
        <v>-9.5829240531985493E-3</v>
      </c>
      <c r="G13" s="102">
        <f>+E13/'G. Corriente'!$E$38</f>
        <v>1.0919632454680727E-5</v>
      </c>
      <c r="H13" s="111"/>
      <c r="I13" s="187">
        <f>+Bioacem!I16</f>
        <v>9.1779999999998836</v>
      </c>
      <c r="J13" s="107">
        <f>+Bioacem!J16</f>
        <v>291.52199999999812</v>
      </c>
      <c r="K13" s="102">
        <f>IF(I13=0,0,I13/Bioacem!E16)</f>
        <v>1.7542417749608426E-3</v>
      </c>
      <c r="L13" s="102">
        <f>J13/Bioacem!$E$38</f>
        <v>2.394621404426932E-3</v>
      </c>
      <c r="M13" s="111"/>
      <c r="N13" s="187">
        <f>+'G. Extra'!I16</f>
        <v>-58.2199999999998</v>
      </c>
      <c r="O13" s="107">
        <f>+'G. Extra'!J16</f>
        <v>8.6000000000004775</v>
      </c>
      <c r="P13" s="102">
        <f>IF(N13=0,0,N13/'G. Extra'!E16)</f>
        <v>-0.20098733041046637</v>
      </c>
      <c r="Q13" s="102">
        <f>+O13/'G. Extra'!$E$38</f>
        <v>7.3778705063625338E-4</v>
      </c>
      <c r="R13" s="111"/>
      <c r="S13" s="163">
        <f>+'G. Corriente'!F16</f>
        <v>3700</v>
      </c>
      <c r="T13" s="78">
        <f>+Bioacem!F16</f>
        <v>5200</v>
      </c>
      <c r="U13" s="111">
        <f>+'G. Extra'!F16</f>
        <v>1500</v>
      </c>
      <c r="V13" s="189"/>
      <c r="W13" s="76"/>
      <c r="X13" s="181"/>
    </row>
    <row r="14" spans="2:24" x14ac:dyDescent="0.15">
      <c r="B14" s="18">
        <v>11</v>
      </c>
      <c r="C14" s="25" t="s">
        <v>9</v>
      </c>
      <c r="D14" s="187">
        <f>+'G. Corriente'!I17</f>
        <v>2.9309999999995853</v>
      </c>
      <c r="E14" s="107">
        <f>+'G. Corriente'!J17</f>
        <v>4.0810000000010405</v>
      </c>
      <c r="F14" s="102">
        <f>IF(D14=0,0,D14/'G. Corriente'!E17)</f>
        <v>8.8312658750352839E-4</v>
      </c>
      <c r="G14" s="102">
        <f>+E14/'G. Corriente'!$E$38</f>
        <v>3.8750452215223492E-5</v>
      </c>
      <c r="H14" s="111"/>
      <c r="I14" s="187">
        <f>+Bioacem!I17</f>
        <v>-10.277999999998428</v>
      </c>
      <c r="J14" s="107">
        <f>+Bioacem!J17</f>
        <v>281.24399999999969</v>
      </c>
      <c r="K14" s="102">
        <f>IF(I14=0,0,I14/Bioacem!E17)</f>
        <v>-2.0951650977047423E-3</v>
      </c>
      <c r="L14" s="102">
        <f>J14/Bioacem!$E$38</f>
        <v>2.3101958077491637E-3</v>
      </c>
      <c r="M14" s="111"/>
      <c r="N14" s="187">
        <f>+'G. Extra'!I17</f>
        <v>-18.139000000000124</v>
      </c>
      <c r="O14" s="107">
        <f>+'G. Extra'!J17</f>
        <v>-9.5389999999996462</v>
      </c>
      <c r="P14" s="102">
        <f>IF(N14=0,0,N14/'G. Extra'!E17)</f>
        <v>-5.5003335557038402E-2</v>
      </c>
      <c r="Q14" s="102">
        <f>+O14/'G. Extra'!$E$38</f>
        <v>-8.1834310186262437E-4</v>
      </c>
      <c r="R14" s="111"/>
      <c r="S14" s="163">
        <f>+'G. Corriente'!F17</f>
        <v>1800</v>
      </c>
      <c r="T14" s="78">
        <f>+Bioacem!F17</f>
        <v>6800</v>
      </c>
      <c r="U14" s="111">
        <f>+'G. Extra'!F17</f>
        <v>0</v>
      </c>
      <c r="V14" s="189"/>
      <c r="W14" s="76"/>
      <c r="X14" s="181"/>
    </row>
    <row r="15" spans="2:24" x14ac:dyDescent="0.15">
      <c r="B15" s="18">
        <v>12</v>
      </c>
      <c r="C15" s="25" t="s">
        <v>9</v>
      </c>
      <c r="D15" s="187">
        <f>+'G. Corriente'!I18</f>
        <v>2.4689999999991414</v>
      </c>
      <c r="E15" s="107">
        <f>+'G. Corriente'!J18</f>
        <v>6.5500000000001819</v>
      </c>
      <c r="F15" s="102">
        <f>IF(D15=0,0,D15/'G. Corriente'!E18)</f>
        <v>7.5684424458089753E-4</v>
      </c>
      <c r="G15" s="102">
        <f>+E15/'G. Corriente'!$E$38</f>
        <v>6.2194428328756735E-5</v>
      </c>
      <c r="H15" s="111"/>
      <c r="I15" s="187">
        <f>+Bioacem!I18</f>
        <v>44.276999999998225</v>
      </c>
      <c r="J15" s="107">
        <f>+Bioacem!J18</f>
        <v>325.52099999999791</v>
      </c>
      <c r="K15" s="102">
        <f>IF(I15=0,0,I15/Bioacem!E18)</f>
        <v>8.6658263820655786E-3</v>
      </c>
      <c r="L15" s="102">
        <f>J15/Bioacem!$E$38</f>
        <v>2.6738961525732516E-3</v>
      </c>
      <c r="M15" s="111"/>
      <c r="N15" s="187">
        <f>+'G. Extra'!I18</f>
        <v>42.719000000000051</v>
      </c>
      <c r="O15" s="107">
        <f>+'G. Extra'!J18</f>
        <v>33.180000000000405</v>
      </c>
      <c r="P15" s="102">
        <f>IF(N15=0,0,N15/'G. Extra'!E18)</f>
        <v>0.14096818901795158</v>
      </c>
      <c r="Q15" s="102">
        <f>+O15/'G. Extra'!$E$38</f>
        <v>2.8464853883848635E-3</v>
      </c>
      <c r="R15" s="111"/>
      <c r="S15" s="163">
        <f>+'G. Corriente'!F18</f>
        <v>4000</v>
      </c>
      <c r="T15" s="78">
        <f>+Bioacem!F18</f>
        <v>4600</v>
      </c>
      <c r="U15" s="111">
        <f>+'G. Extra'!F18</f>
        <v>0</v>
      </c>
      <c r="V15" s="189"/>
      <c r="W15" s="76"/>
      <c r="X15" s="181"/>
    </row>
    <row r="16" spans="2:24" x14ac:dyDescent="0.15">
      <c r="B16" s="18">
        <v>13</v>
      </c>
      <c r="C16" s="25" t="s">
        <v>10</v>
      </c>
      <c r="D16" s="187">
        <f>+'G. Corriente'!I19</f>
        <v>427.34000000000015</v>
      </c>
      <c r="E16" s="107">
        <f>+'G. Corriente'!J19</f>
        <v>433.89000000000033</v>
      </c>
      <c r="F16" s="102">
        <f>IF(D16=0,0,D16/'G. Corriente'!E19)</f>
        <v>0.11656306172381535</v>
      </c>
      <c r="G16" s="102">
        <f>+E16/'G. Corriente'!$E$38</f>
        <v>4.1199298484829814E-3</v>
      </c>
      <c r="H16" s="111"/>
      <c r="I16" s="187">
        <f>+Bioacem!I19</f>
        <v>11.639999999999418</v>
      </c>
      <c r="J16" s="107">
        <f>+Bioacem!J19</f>
        <v>337.16099999999733</v>
      </c>
      <c r="K16" s="102">
        <f>IF(I16=0,0,I16/Bioacem!E19)</f>
        <v>2.4812150279774937E-3</v>
      </c>
      <c r="L16" s="102">
        <f>J16/Bioacem!$E$38</f>
        <v>2.769509496154622E-3</v>
      </c>
      <c r="M16" s="111"/>
      <c r="N16" s="187">
        <f>+'G. Extra'!I19</f>
        <v>-24.319000000000187</v>
      </c>
      <c r="O16" s="107">
        <f>+'G. Extra'!J19</f>
        <v>8.8610000000002174</v>
      </c>
      <c r="P16" s="102">
        <f>IF(N16=0,0,N16/'G. Extra'!E19)</f>
        <v>-5.4267734809095997E-2</v>
      </c>
      <c r="Q16" s="102">
        <f>+O16/'G. Extra'!$E$38</f>
        <v>7.601780297311208E-4</v>
      </c>
      <c r="R16" s="111"/>
      <c r="S16" s="163">
        <f>+'G. Corriente'!F19</f>
        <v>4000</v>
      </c>
      <c r="T16" s="78">
        <f>+Bioacem!F19</f>
        <v>4600</v>
      </c>
      <c r="U16" s="111">
        <f>+'G. Extra'!F19</f>
        <v>0</v>
      </c>
      <c r="V16" s="189"/>
      <c r="W16" s="76"/>
      <c r="X16" s="181"/>
    </row>
    <row r="17" spans="2:24" x14ac:dyDescent="0.15">
      <c r="B17" s="18">
        <v>14</v>
      </c>
      <c r="C17" s="25" t="s">
        <v>11</v>
      </c>
      <c r="D17" s="187">
        <f>+'G. Corriente'!I20</f>
        <v>-463.07000000000062</v>
      </c>
      <c r="E17" s="107">
        <f>+'G. Corriente'!J20</f>
        <v>-29.180000000000291</v>
      </c>
      <c r="F17" s="102">
        <f>IF(D17=0,0,D17/'G. Corriente'!E20)</f>
        <v>-8.0408336198424135E-2</v>
      </c>
      <c r="G17" s="102">
        <f>+E17/'G. Corriente'!$E$38</f>
        <v>-2.7707380437146399E-4</v>
      </c>
      <c r="H17" s="111"/>
      <c r="I17" s="187">
        <f>+Bioacem!I20</f>
        <v>-74.106999999999971</v>
      </c>
      <c r="J17" s="107">
        <f>+Bioacem!J20</f>
        <v>263.05399999999736</v>
      </c>
      <c r="K17" s="102">
        <f>IF(I17=0,0,I17/Bioacem!E20)</f>
        <v>-2.3525359592900509E-2</v>
      </c>
      <c r="L17" s="102">
        <f>J17/Bioacem!$E$38</f>
        <v>2.1607794228913082E-3</v>
      </c>
      <c r="M17" s="111"/>
      <c r="N17" s="187">
        <f>+'G. Extra'!I20</f>
        <v>29.470000000000255</v>
      </c>
      <c r="O17" s="107">
        <f>+'G. Extra'!J20</f>
        <v>38.331000000000472</v>
      </c>
      <c r="P17" s="102">
        <f>IF(N17=0,0,N17/'G. Extra'!E20)</f>
        <v>3.6703989239142934E-2</v>
      </c>
      <c r="Q17" s="102">
        <f>+O17/'G. Extra'!$E$38</f>
        <v>3.2883855160391871E-3</v>
      </c>
      <c r="R17" s="111"/>
      <c r="S17" s="163">
        <f>+'G. Corriente'!F20</f>
        <v>7400</v>
      </c>
      <c r="T17" s="78">
        <f>+Bioacem!F20</f>
        <v>8000</v>
      </c>
      <c r="U17" s="111">
        <f>+'G. Extra'!F20</f>
        <v>1800</v>
      </c>
      <c r="V17" s="189"/>
      <c r="W17" s="76"/>
      <c r="X17" s="181"/>
    </row>
    <row r="18" spans="2:24" x14ac:dyDescent="0.15">
      <c r="B18" s="18">
        <v>15</v>
      </c>
      <c r="C18" s="25" t="s">
        <v>12</v>
      </c>
      <c r="D18" s="187">
        <f>+'G. Corriente'!I21</f>
        <v>323.82999999999902</v>
      </c>
      <c r="E18" s="107">
        <f>+'G. Corriente'!J21</f>
        <v>294.64999999999873</v>
      </c>
      <c r="F18" s="102">
        <f>IF(D18=0,0,D18/'G. Corriente'!E21)</f>
        <v>6.7635503887949977E-2</v>
      </c>
      <c r="G18" s="102">
        <f>+E18/'G. Corriente'!$E$38</f>
        <v>2.7977997415370355E-3</v>
      </c>
      <c r="H18" s="111"/>
      <c r="I18" s="187">
        <f>+Bioacem!I21</f>
        <v>-3986.489999999998</v>
      </c>
      <c r="J18" s="107">
        <f>+Bioacem!J21</f>
        <v>-3723.4360000000006</v>
      </c>
      <c r="K18" s="102">
        <f>IF(I18=0,0,I18/Bioacem!E21)</f>
        <v>-2.7433248919595901</v>
      </c>
      <c r="L18" s="102">
        <f>J18/Bioacem!$E$38</f>
        <v>-3.0585065770726935E-2</v>
      </c>
      <c r="M18" s="111"/>
      <c r="N18" s="187">
        <f>+'G. Extra'!I21</f>
        <v>-21.931000000000267</v>
      </c>
      <c r="O18" s="107">
        <f>+'G. Extra'!J21</f>
        <v>16.400000000000205</v>
      </c>
      <c r="P18" s="102">
        <f>IF(N18=0,0,N18/'G. Extra'!E21)</f>
        <v>-4.8218015522283643E-2</v>
      </c>
      <c r="Q18" s="102">
        <f>+O18/'G. Extra'!$E$38</f>
        <v>1.4069427477248879E-3</v>
      </c>
      <c r="R18" s="111"/>
      <c r="S18" s="163">
        <f>+'G. Corriente'!F21</f>
        <v>4600</v>
      </c>
      <c r="T18" s="78">
        <f>+Bioacem!F21</f>
        <v>4000</v>
      </c>
      <c r="U18" s="111">
        <f>+'G. Extra'!F21</f>
        <v>0</v>
      </c>
      <c r="V18" s="189"/>
      <c r="W18" s="76"/>
      <c r="X18" s="181"/>
    </row>
    <row r="19" spans="2:24" x14ac:dyDescent="0.15">
      <c r="B19" s="18">
        <v>16</v>
      </c>
      <c r="C19" s="118" t="s">
        <v>13</v>
      </c>
      <c r="D19" s="187">
        <f>+'G. Corriente'!I22</f>
        <v>-229.65900000000056</v>
      </c>
      <c r="E19" s="107">
        <f>+'G. Corriente'!J22</f>
        <v>64.990999999998166</v>
      </c>
      <c r="F19" s="102">
        <f>IF(D19=0,0,D19/'G. Corriente'!E22)</f>
        <v>-7.3678554012781533E-2</v>
      </c>
      <c r="G19" s="102">
        <f>+E19/'G. Corriente'!$E$38</f>
        <v>6.1711115900977133E-4</v>
      </c>
      <c r="H19" s="111"/>
      <c r="I19" s="187">
        <f>+Bioacem!I22</f>
        <v>4002.4409999999998</v>
      </c>
      <c r="J19" s="107">
        <f>+Bioacem!J22</f>
        <v>279.0049999999992</v>
      </c>
      <c r="K19" s="102">
        <f>IF(I19=0,0,I19/Bioacem!E22)</f>
        <v>0.66798864444288675</v>
      </c>
      <c r="L19" s="102">
        <f>J19/Bioacem!$E$38</f>
        <v>2.2918042032578625E-3</v>
      </c>
      <c r="M19" s="111"/>
      <c r="N19" s="187">
        <f>+'G. Extra'!I22</f>
        <v>44.830000000000155</v>
      </c>
      <c r="O19" s="107">
        <f>+'G. Extra'!J22</f>
        <v>61.230000000000359</v>
      </c>
      <c r="P19" s="102">
        <f>IF(N19=0,0,N19/'G. Extra'!E22)</f>
        <v>0.14947319285142754</v>
      </c>
      <c r="Q19" s="102">
        <f>+O19/'G. Extra'!$E$38</f>
        <v>5.2528722221459948E-3</v>
      </c>
      <c r="R19" s="111"/>
      <c r="S19" s="163">
        <f>+'G. Corriente'!F22</f>
        <v>0</v>
      </c>
      <c r="T19" s="78">
        <f>+Bioacem!F22</f>
        <v>0</v>
      </c>
      <c r="U19" s="111">
        <f>+'G. Extra'!F22</f>
        <v>0</v>
      </c>
      <c r="V19" s="189"/>
      <c r="W19" s="76"/>
      <c r="X19" s="181"/>
    </row>
    <row r="20" spans="2:24" x14ac:dyDescent="0.15">
      <c r="B20" s="18">
        <v>17</v>
      </c>
      <c r="C20" s="25" t="s">
        <v>14</v>
      </c>
      <c r="D20" s="187">
        <f>+'G. Corriente'!I23</f>
        <v>-3393.58</v>
      </c>
      <c r="E20" s="107">
        <f>+'G. Corriente'!J23</f>
        <v>-3328.5890000000018</v>
      </c>
      <c r="F20" s="102">
        <f>IF(D20=0,0,D20/'G. Corriente'!E23)</f>
        <v>-0.97012924269668699</v>
      </c>
      <c r="G20" s="102">
        <f>+E20/'G. Corriente'!$E$38</f>
        <v>-3.1606059541432426E-2</v>
      </c>
      <c r="H20" s="111"/>
      <c r="I20" s="187">
        <f>+Bioacem!I23</f>
        <v>-3466.0509999999995</v>
      </c>
      <c r="J20" s="107">
        <f>+Bioacem!J23</f>
        <v>-3187.0460000000003</v>
      </c>
      <c r="K20" s="102">
        <f>IF(I20=0,0,I20/Bioacem!E23)</f>
        <v>-0.72702714040898331</v>
      </c>
      <c r="L20" s="102">
        <f>J20/Bioacem!$E$38</f>
        <v>-2.6179048471447391E-2</v>
      </c>
      <c r="M20" s="111"/>
      <c r="N20" s="187">
        <f>+'G. Extra'!I23</f>
        <v>-1871.059</v>
      </c>
      <c r="O20" s="107">
        <f>+'G. Extra'!J23</f>
        <v>-1809.8289999999997</v>
      </c>
      <c r="P20" s="102">
        <f>IF(N20=0,0,N20/'G. Extra'!E23)</f>
        <v>-5.871831162717716</v>
      </c>
      <c r="Q20" s="102">
        <f>+O20/'G. Extra'!$E$38</f>
        <v>-0.15526376744952158</v>
      </c>
      <c r="R20" s="111"/>
      <c r="S20" s="163">
        <f>+'G. Corriente'!F23</f>
        <v>7900</v>
      </c>
      <c r="T20" s="78">
        <f>+Bioacem!F23</f>
        <v>7000</v>
      </c>
      <c r="U20" s="111">
        <f>+'G. Extra'!F23</f>
        <v>1800</v>
      </c>
      <c r="V20" s="189"/>
      <c r="W20" s="76"/>
      <c r="X20" s="181"/>
    </row>
    <row r="21" spans="2:24" x14ac:dyDescent="0.15">
      <c r="B21" s="18">
        <v>18</v>
      </c>
      <c r="C21" s="25" t="s">
        <v>9</v>
      </c>
      <c r="D21" s="187">
        <f>+'G. Corriente'!I24</f>
        <v>3293.2499999999991</v>
      </c>
      <c r="E21" s="107">
        <f>+'G. Corriente'!J24</f>
        <v>-35.33900000000267</v>
      </c>
      <c r="F21" s="102">
        <f>IF(D21=0,0,D21/'G. Corriente'!E24)</f>
        <v>0.97994727194820008</v>
      </c>
      <c r="G21" s="102">
        <f>+E21/'G. Corriente'!$E$38</f>
        <v>-3.3555555766565483E-4</v>
      </c>
      <c r="H21" s="111"/>
      <c r="I21" s="187">
        <f>+Bioacem!I24</f>
        <v>3579.33</v>
      </c>
      <c r="J21" s="107">
        <f>+Bioacem!J24</f>
        <v>392.28399999999965</v>
      </c>
      <c r="K21" s="102">
        <f>IF(I21=0,0,I21/Bioacem!E24)</f>
        <v>0.69317156302651206</v>
      </c>
      <c r="L21" s="102">
        <f>J21/Bioacem!$E$38</f>
        <v>3.2223011059687428E-3</v>
      </c>
      <c r="M21" s="111"/>
      <c r="N21" s="187">
        <f>+'G. Extra'!I24</f>
        <v>1841.519</v>
      </c>
      <c r="O21" s="107">
        <f>+'G. Extra'!J24</f>
        <v>31.690000000000282</v>
      </c>
      <c r="P21" s="102">
        <f>IF(N21=0,0,N21/'G. Extra'!E24)</f>
        <v>6.5177284632264456</v>
      </c>
      <c r="Q21" s="102">
        <f>+O21/'G. Extra'!$E$38</f>
        <v>2.7186594924025328E-3</v>
      </c>
      <c r="R21" s="111"/>
      <c r="S21" s="163">
        <f>+'G. Corriente'!F24</f>
        <v>1800</v>
      </c>
      <c r="T21" s="78">
        <f>+Bioacem!F24</f>
        <v>6800</v>
      </c>
      <c r="U21" s="111">
        <f>+'G. Extra'!F24</f>
        <v>0</v>
      </c>
      <c r="V21" s="189"/>
      <c r="W21" s="76"/>
      <c r="X21" s="181"/>
    </row>
    <row r="22" spans="2:24" x14ac:dyDescent="0.15">
      <c r="B22" s="18">
        <v>19</v>
      </c>
      <c r="C22" s="25" t="s">
        <v>9</v>
      </c>
      <c r="D22" s="187">
        <f>+'G. Corriente'!I25</f>
        <v>37.489000000000487</v>
      </c>
      <c r="E22" s="107">
        <f>+'G. Corriente'!J25</f>
        <v>2.1499999999978172</v>
      </c>
      <c r="F22" s="102">
        <f>IF(D22=0,0,D22/'G. Corriente'!E25)</f>
        <v>1.0818274685889548E-2</v>
      </c>
      <c r="G22" s="102">
        <f>+E22/'G. Corriente'!$E$38</f>
        <v>2.0414965023921757E-5</v>
      </c>
      <c r="H22" s="111"/>
      <c r="I22" s="187">
        <f>+Bioacem!I25</f>
        <v>5.4059999999990396</v>
      </c>
      <c r="J22" s="107">
        <f>+Bioacem!J25</f>
        <v>397.68999999999869</v>
      </c>
      <c r="K22" s="102">
        <f>IF(I22=0,0,I22/Bioacem!E25)</f>
        <v>1.1272292804371798E-3</v>
      </c>
      <c r="L22" s="102">
        <f>J22/Bioacem!$E$38</f>
        <v>3.2667070969825593E-3</v>
      </c>
      <c r="M22" s="111"/>
      <c r="N22" s="187">
        <f>+'G. Extra'!I25</f>
        <v>-16.059000000000196</v>
      </c>
      <c r="O22" s="107">
        <f>+'G. Extra'!J25</f>
        <v>15.631000000000085</v>
      </c>
      <c r="P22" s="102">
        <f>IF(N22=0,0,N22/'G. Extra'!E25)</f>
        <v>-4.7218465157307252E-2</v>
      </c>
      <c r="Q22" s="102">
        <f>+O22/'G. Extra'!$E$38</f>
        <v>1.3409708591272907E-3</v>
      </c>
      <c r="R22" s="111"/>
      <c r="S22" s="163">
        <f>+'G. Corriente'!F25</f>
        <v>0</v>
      </c>
      <c r="T22" s="78">
        <f>+Bioacem!F25</f>
        <v>0</v>
      </c>
      <c r="U22" s="111">
        <f>+'G. Extra'!F25</f>
        <v>0</v>
      </c>
      <c r="V22" s="189"/>
      <c r="W22" s="76"/>
      <c r="X22" s="181"/>
    </row>
    <row r="23" spans="2:24" x14ac:dyDescent="0.15">
      <c r="B23" s="18">
        <v>20</v>
      </c>
      <c r="C23" s="25" t="s">
        <v>10</v>
      </c>
      <c r="D23" s="187">
        <f>+'G. Corriente'!I26</f>
        <v>-15.338999999999942</v>
      </c>
      <c r="E23" s="107">
        <f>+'G. Corriente'!J26</f>
        <v>-13.189000000002125</v>
      </c>
      <c r="F23" s="102">
        <f>IF(D23=0,0,D23/'G. Corriente'!E26)</f>
        <v>-3.6421270078711974E-3</v>
      </c>
      <c r="G23" s="102">
        <f>+E23/'G. Corriente'!$E$38</f>
        <v>-1.2523394125619572E-4</v>
      </c>
      <c r="H23" s="111"/>
      <c r="I23" s="187">
        <f>+Bioacem!I26</f>
        <v>71.997999999999593</v>
      </c>
      <c r="J23" s="107">
        <f>+Bioacem!J26</f>
        <v>469.68799999999828</v>
      </c>
      <c r="K23" s="102">
        <f>IF(I23=0,0,I23/Bioacem!E26)</f>
        <v>1.3793671594209484E-2</v>
      </c>
      <c r="L23" s="102">
        <f>J23/Bioacem!$E$38</f>
        <v>3.8581134123753268E-3</v>
      </c>
      <c r="M23" s="111"/>
      <c r="N23" s="187">
        <f>+'G. Extra'!I26</f>
        <v>77.009999999999991</v>
      </c>
      <c r="O23" s="107">
        <f>+'G. Extra'!J26</f>
        <v>92.641000000000076</v>
      </c>
      <c r="P23" s="102">
        <f>IF(N23=0,0,N23/'G. Extra'!E26)</f>
        <v>0.17035349289917265</v>
      </c>
      <c r="Q23" s="102">
        <f>+O23/'G. Extra'!$E$38</f>
        <v>7.9475965299987683E-3</v>
      </c>
      <c r="R23" s="111"/>
      <c r="S23" s="163">
        <f>+'G. Corriente'!F26</f>
        <v>3500</v>
      </c>
      <c r="T23" s="78">
        <f>+Bioacem!F26</f>
        <v>6300</v>
      </c>
      <c r="U23" s="111">
        <f>+'G. Extra'!F26</f>
        <v>0</v>
      </c>
      <c r="V23" s="189"/>
      <c r="W23" s="76"/>
      <c r="X23" s="181"/>
    </row>
    <row r="24" spans="2:24" x14ac:dyDescent="0.15">
      <c r="B24" s="18">
        <v>21</v>
      </c>
      <c r="C24" s="25" t="s">
        <v>11</v>
      </c>
      <c r="D24" s="187">
        <f>+'G. Corriente'!I27</f>
        <v>58.75899999999956</v>
      </c>
      <c r="E24" s="107">
        <f>+'G. Corriente'!J27</f>
        <v>45.569999999997435</v>
      </c>
      <c r="F24" s="102">
        <f>IF(D24=0,0,D24/'G. Corriente'!E27)</f>
        <v>1.089455133375228E-2</v>
      </c>
      <c r="G24" s="102">
        <f>+E24/'G. Corriente'!$E$38</f>
        <v>4.3270230518186354E-4</v>
      </c>
      <c r="H24" s="111"/>
      <c r="I24" s="187">
        <f>+Bioacem!I27</f>
        <v>-75.097999999999956</v>
      </c>
      <c r="J24" s="107">
        <f>+Bioacem!J27</f>
        <v>394.58999999999833</v>
      </c>
      <c r="K24" s="102">
        <f>IF(I24=0,0,I24/Bioacem!E27)</f>
        <v>-2.5146664880792913E-2</v>
      </c>
      <c r="L24" s="102">
        <f>J24/Bioacem!$E$38</f>
        <v>3.2412430621799565E-3</v>
      </c>
      <c r="M24" s="111"/>
      <c r="N24" s="187">
        <f>+'G. Extra'!I27</f>
        <v>-72.850000000000023</v>
      </c>
      <c r="O24" s="107">
        <f>+'G. Extra'!J27</f>
        <v>19.791000000000054</v>
      </c>
      <c r="P24" s="102">
        <f>IF(N24=0,0,N24/'G. Extra'!E27)</f>
        <v>-9.6500291421607626E-2</v>
      </c>
      <c r="Q24" s="102">
        <f>+O24/'G. Extra'!$E$38</f>
        <v>1.697853897574572E-3</v>
      </c>
      <c r="R24" s="111"/>
      <c r="S24" s="163">
        <f>+'G. Corriente'!F27</f>
        <v>5800</v>
      </c>
      <c r="T24" s="78">
        <f>+Bioacem!F27</f>
        <v>2800</v>
      </c>
      <c r="U24" s="111">
        <f>+'G. Extra'!F27</f>
        <v>0</v>
      </c>
      <c r="V24" s="189"/>
      <c r="W24" s="76"/>
      <c r="X24" s="181"/>
    </row>
    <row r="25" spans="2:24" x14ac:dyDescent="0.15">
      <c r="B25" s="18">
        <v>22</v>
      </c>
      <c r="C25" s="25" t="s">
        <v>12</v>
      </c>
      <c r="D25" s="187">
        <f>+'G. Corriente'!I28</f>
        <v>-45.050000000000182</v>
      </c>
      <c r="E25" s="107">
        <f>+'G. Corriente'!J28</f>
        <v>0.51999999999725333</v>
      </c>
      <c r="F25" s="102">
        <f>IF(D25=0,0,D25/'G. Corriente'!E28)</f>
        <v>-1.0670273163730114E-2</v>
      </c>
      <c r="G25" s="102">
        <f>+E25/'G. Corriente'!$E$38</f>
        <v>4.9375729359972175E-6</v>
      </c>
      <c r="H25" s="111"/>
      <c r="I25" s="187">
        <f>+Bioacem!I28</f>
        <v>29.611000000000786</v>
      </c>
      <c r="J25" s="107">
        <f>+Bioacem!J28</f>
        <v>424.20099999999911</v>
      </c>
      <c r="K25" s="102">
        <f>IF(I25=0,0,I25/Bioacem!E28)</f>
        <v>2.0816461391373366E-2</v>
      </c>
      <c r="L25" s="102">
        <f>J25/Bioacem!$E$38</f>
        <v>3.4844738797734425E-3</v>
      </c>
      <c r="M25" s="111"/>
      <c r="N25" s="187">
        <f>+'G. Extra'!I28</f>
        <v>15.349000000000046</v>
      </c>
      <c r="O25" s="107">
        <f>+'G. Extra'!J28</f>
        <v>35.1400000000001</v>
      </c>
      <c r="P25" s="102">
        <f>IF(N25=0,0,N25/'G. Extra'!E28)</f>
        <v>2.5110838445807845E-2</v>
      </c>
      <c r="Q25" s="102">
        <f>+O25/'G. Extra'!$E$38</f>
        <v>3.0146322045763465E-3</v>
      </c>
      <c r="R25" s="111"/>
      <c r="S25" s="163">
        <f>+'G. Corriente'!F28</f>
        <v>5800</v>
      </c>
      <c r="T25" s="78">
        <f>+Bioacem!F28</f>
        <v>2800</v>
      </c>
      <c r="U25" s="111">
        <f>+'G. Extra'!F28</f>
        <v>0</v>
      </c>
      <c r="V25" s="189"/>
      <c r="W25" s="76"/>
      <c r="X25" s="181"/>
    </row>
    <row r="26" spans="2:24" x14ac:dyDescent="0.15">
      <c r="B26" s="18">
        <v>23</v>
      </c>
      <c r="C26" s="118" t="s">
        <v>13</v>
      </c>
      <c r="D26" s="187">
        <f>+'G. Corriente'!I29</f>
        <v>16.809999999998581</v>
      </c>
      <c r="E26" s="107">
        <f>+'G. Corriente'!J29</f>
        <v>17.329999999995835</v>
      </c>
      <c r="F26" s="102">
        <f>IF(D26=0,0,D26/'G. Corriente'!E29)</f>
        <v>5.0868794218928218E-3</v>
      </c>
      <c r="G26" s="102">
        <f>+E26/'G. Corriente'!$E$38</f>
        <v>1.6455411342550613E-4</v>
      </c>
      <c r="H26" s="111"/>
      <c r="I26" s="187">
        <f>+Bioacem!I29</f>
        <v>-35.876000000002023</v>
      </c>
      <c r="J26" s="107">
        <f>+Bioacem!J29</f>
        <v>388.32499999999709</v>
      </c>
      <c r="K26" s="102">
        <f>IF(I26=0,0,I26/Bioacem!E29)</f>
        <v>-6.8833593310812236E-3</v>
      </c>
      <c r="L26" s="102">
        <f>J26/Bioacem!$E$38</f>
        <v>3.1897810692643695E-3</v>
      </c>
      <c r="M26" s="111"/>
      <c r="N26" s="187">
        <f>+'G. Extra'!I29</f>
        <v>-21.828999999999951</v>
      </c>
      <c r="O26" s="107">
        <f>+'G. Extra'!J29</f>
        <v>13.311000000000149</v>
      </c>
      <c r="P26" s="102">
        <f>IF(N26=0,0,N26/'G. Extra'!E29)</f>
        <v>-6.1576868829336953E-2</v>
      </c>
      <c r="Q26" s="102">
        <f>+O26/'G. Extra'!$E$38</f>
        <v>1.1419399338393876E-3</v>
      </c>
      <c r="R26" s="111"/>
      <c r="S26" s="163">
        <f>+'G. Corriente'!F29</f>
        <v>3500</v>
      </c>
      <c r="T26" s="78">
        <f>+Bioacem!F29</f>
        <v>2800</v>
      </c>
      <c r="U26" s="111">
        <f>+'G. Extra'!F29</f>
        <v>1800</v>
      </c>
      <c r="V26" s="189"/>
      <c r="W26" s="76"/>
      <c r="X26" s="181"/>
    </row>
    <row r="27" spans="2:24" x14ac:dyDescent="0.15">
      <c r="B27" s="18">
        <v>24</v>
      </c>
      <c r="C27" s="25" t="s">
        <v>14</v>
      </c>
      <c r="D27" s="187">
        <f>+'G. Corriente'!I30</f>
        <v>-28.049000000000888</v>
      </c>
      <c r="E27" s="107">
        <f>+'G. Corriente'!J30</f>
        <v>-10.719000000005053</v>
      </c>
      <c r="F27" s="102">
        <f>IF(D27=0,0,D27/'G. Corriente'!E30)</f>
        <v>-8.8100510404400117E-3</v>
      </c>
      <c r="G27" s="102">
        <f>+E27/'G. Corriente'!$E$38</f>
        <v>-1.0178046981011286E-4</v>
      </c>
      <c r="H27" s="111"/>
      <c r="I27" s="187">
        <f>+Bioacem!I30</f>
        <v>-17.009000000000015</v>
      </c>
      <c r="J27" s="107">
        <f>+Bioacem!J30</f>
        <v>371.31599999999708</v>
      </c>
      <c r="K27" s="102">
        <f>IF(I27=0,0,I27/Bioacem!E30)</f>
        <v>-3.4088016786479459E-3</v>
      </c>
      <c r="L27" s="102">
        <f>J27/Bioacem!$E$38</f>
        <v>3.0500656602458461E-3</v>
      </c>
      <c r="M27" s="111"/>
      <c r="N27" s="187">
        <f>+'G. Extra'!I30</f>
        <v>26.199000000000069</v>
      </c>
      <c r="O27" s="107">
        <f>+'G. Extra'!J30</f>
        <v>39.510000000000218</v>
      </c>
      <c r="P27" s="102">
        <f>IF(N27=0,0,N27/'G. Extra'!E30)</f>
        <v>9.1438643026665059E-2</v>
      </c>
      <c r="Q27" s="102">
        <f>+O27/'G. Extra'!$E$38</f>
        <v>3.3895309733298737E-3</v>
      </c>
      <c r="R27" s="111"/>
      <c r="S27" s="163">
        <f>+'G. Corriente'!F30</f>
        <v>4000</v>
      </c>
      <c r="T27" s="78">
        <f>+Bioacem!F30</f>
        <v>4600</v>
      </c>
      <c r="U27" s="111">
        <f>+'G. Extra'!F30</f>
        <v>0</v>
      </c>
      <c r="V27" s="189"/>
      <c r="W27" s="76"/>
      <c r="X27" s="181"/>
    </row>
    <row r="28" spans="2:24" x14ac:dyDescent="0.15">
      <c r="B28" s="18">
        <v>25</v>
      </c>
      <c r="C28" s="25" t="s">
        <v>9</v>
      </c>
      <c r="D28" s="187">
        <f>+'G. Corriente'!I31</f>
        <v>80.070000000000618</v>
      </c>
      <c r="E28" s="107">
        <f>+'G. Corriente'!J31</f>
        <v>69.350999999995565</v>
      </c>
      <c r="F28" s="102">
        <f>IF(D28=0,0,D28/'G. Corriente'!E31)</f>
        <v>2.3090365893046829E-2</v>
      </c>
      <c r="G28" s="102">
        <f>+E28/'G. Corriente'!$E$38</f>
        <v>6.5851080901178818E-4</v>
      </c>
      <c r="H28" s="111"/>
      <c r="I28" s="187">
        <f>+Bioacem!I31</f>
        <v>108.75800000000163</v>
      </c>
      <c r="J28" s="107">
        <f>+Bioacem!J31</f>
        <v>480.0739999999987</v>
      </c>
      <c r="K28" s="102">
        <f>IF(I28=0,0,I28/Bioacem!E31)</f>
        <v>1.9713214222921768E-2</v>
      </c>
      <c r="L28" s="102">
        <f>J28/Bioacem!$E$38</f>
        <v>3.9434261431688152E-3</v>
      </c>
      <c r="M28" s="111"/>
      <c r="N28" s="187">
        <f>+'G. Extra'!I31</f>
        <v>-37.3900000000001</v>
      </c>
      <c r="O28" s="107">
        <f>+'G. Extra'!J31</f>
        <v>2.1200000000001182</v>
      </c>
      <c r="P28" s="102">
        <f>IF(N28=0,0,N28/'G. Extra'!E31)</f>
        <v>-0.11050360562714298</v>
      </c>
      <c r="Q28" s="102">
        <f>+O28/'G. Extra'!$E$38</f>
        <v>1.8187308690102995E-4</v>
      </c>
      <c r="R28" s="111"/>
      <c r="S28" s="163">
        <f>+'G. Corriente'!F31</f>
        <v>2700</v>
      </c>
      <c r="T28" s="78">
        <f>+Bioacem!F31</f>
        <v>5800</v>
      </c>
      <c r="U28" s="111">
        <f>+'G. Extra'!F31</f>
        <v>0</v>
      </c>
      <c r="V28" s="189"/>
      <c r="W28" s="76"/>
      <c r="X28" s="181"/>
    </row>
    <row r="29" spans="2:24" x14ac:dyDescent="0.15">
      <c r="B29" s="18">
        <v>26</v>
      </c>
      <c r="C29" s="25" t="s">
        <v>9</v>
      </c>
      <c r="D29" s="187">
        <f>+'G. Corriente'!I32</f>
        <v>-100.51000000000113</v>
      </c>
      <c r="E29" s="107">
        <f>+'G. Corriente'!J32</f>
        <v>-31.159000000005562</v>
      </c>
      <c r="F29" s="102">
        <f>IF(D29=0,0,D29/'G. Corriente'!E32)</f>
        <v>-3.1626709796382366E-2</v>
      </c>
      <c r="G29" s="102">
        <f>+E29/'G. Corriente'!$E$38</f>
        <v>-2.9586506752611038E-4</v>
      </c>
      <c r="H29" s="138"/>
      <c r="I29" s="187">
        <f>+Bioacem!I32</f>
        <v>-56.21900000000096</v>
      </c>
      <c r="J29" s="107">
        <f>+Bioacem!J32</f>
        <v>423.85499999999774</v>
      </c>
      <c r="K29" s="102">
        <f>IF(I29=0,0,I29/Bioacem!E32)</f>
        <v>-1.2084260304154111E-2</v>
      </c>
      <c r="L29" s="102">
        <f>J29/Bioacem!$E$38</f>
        <v>3.4816317649212702E-3</v>
      </c>
      <c r="M29" s="111"/>
      <c r="N29" s="187">
        <f>+'G. Extra'!I32</f>
        <v>-1.5199999999999818</v>
      </c>
      <c r="O29" s="107">
        <f>+'G. Extra'!J32</f>
        <v>0.60000000000013642</v>
      </c>
      <c r="P29" s="102">
        <f>IF(N29=0,0,N29/'G. Extra'!E32)</f>
        <v>-4.0424456796361316E-3</v>
      </c>
      <c r="Q29" s="102">
        <f>+O29/'G. Extra'!$E$38</f>
        <v>5.1473515160677687E-5</v>
      </c>
      <c r="R29" s="111"/>
      <c r="S29" s="163">
        <f>+'G. Corriente'!F32</f>
        <v>2700</v>
      </c>
      <c r="T29" s="78">
        <f>+Bioacem!F32</f>
        <v>4000</v>
      </c>
      <c r="U29" s="111">
        <f>+'G. Extra'!F32</f>
        <v>1800</v>
      </c>
      <c r="V29" s="189"/>
      <c r="W29" s="76"/>
      <c r="X29" s="181"/>
    </row>
    <row r="30" spans="2:24" x14ac:dyDescent="0.15">
      <c r="B30" s="18">
        <v>27</v>
      </c>
      <c r="C30" s="25" t="s">
        <v>10</v>
      </c>
      <c r="D30" s="187">
        <f>+'G. Corriente'!I33</f>
        <v>-3411.4010000000007</v>
      </c>
      <c r="E30" s="107">
        <f>+'G. Corriente'!J33</f>
        <v>-3442.5600000000063</v>
      </c>
      <c r="F30" s="102">
        <f>IF(D30=0,0,D30/'G. Corriente'!E33)</f>
        <v>-0.80629097750403</v>
      </c>
      <c r="G30" s="102">
        <f>+E30/'G. Corriente'!$E$38</f>
        <v>-3.2688252089685378E-2</v>
      </c>
      <c r="H30" s="111"/>
      <c r="I30" s="187">
        <f>+Bioacem!I33</f>
        <v>-6234.3950000000004</v>
      </c>
      <c r="J30" s="107">
        <f>+Bioacem!J33</f>
        <v>-5810.5400000000027</v>
      </c>
      <c r="K30" s="102">
        <f>IF(I30=0,0,I30/Bioacem!E33)</f>
        <v>-1.2211972224126619</v>
      </c>
      <c r="L30" s="102">
        <f>J30/Bioacem!$E$38</f>
        <v>-4.7728965413515831E-2</v>
      </c>
      <c r="M30" s="111"/>
      <c r="N30" s="187">
        <f>+'G. Extra'!I33</f>
        <v>19.849999999999909</v>
      </c>
      <c r="O30" s="107">
        <f>+'G. Extra'!J33</f>
        <v>20.450000000000045</v>
      </c>
      <c r="P30" s="102">
        <f>IF(N30=0,0,N30/'G. Extra'!E33)</f>
        <v>3.2010965973229978E-2</v>
      </c>
      <c r="Q30" s="102">
        <f>+O30/'G. Extra'!$E$38</f>
        <v>1.7543889750593696E-3</v>
      </c>
      <c r="R30" s="111"/>
      <c r="S30" s="163">
        <f>+'G. Corriente'!F33</f>
        <v>8700</v>
      </c>
      <c r="T30" s="78">
        <f>+Bioacem!F33</f>
        <v>11600</v>
      </c>
      <c r="U30" s="111">
        <f>+'G. Extra'!F33</f>
        <v>0</v>
      </c>
      <c r="V30" s="189"/>
      <c r="W30" s="76"/>
      <c r="X30" s="181"/>
    </row>
    <row r="31" spans="2:24" x14ac:dyDescent="0.15">
      <c r="B31" s="18">
        <v>28</v>
      </c>
      <c r="C31" s="25" t="s">
        <v>11</v>
      </c>
      <c r="D31" s="187">
        <f>+'G. Corriente'!I34</f>
        <v>3374.2500000000009</v>
      </c>
      <c r="E31" s="107">
        <f>+'G. Corriente'!J34</f>
        <v>-68.310000000005402</v>
      </c>
      <c r="F31" s="102">
        <f>IF(D31=0,0,D31/'G. Corriente'!E34)</f>
        <v>0.55296627876678328</v>
      </c>
      <c r="G31" s="102">
        <f>+E31/'G. Corriente'!$E$38</f>
        <v>-6.4862616780726572E-4</v>
      </c>
      <c r="H31" s="111"/>
      <c r="I31" s="187">
        <f>+Bioacem!I34</f>
        <v>6291.4429999999993</v>
      </c>
      <c r="J31" s="107">
        <f>+Bioacem!J34</f>
        <v>480.90299999999661</v>
      </c>
      <c r="K31" s="102">
        <f>IF(I31=0,0,I31/Bioacem!E34)</f>
        <v>2.1221036050621982</v>
      </c>
      <c r="L31" s="102">
        <f>J31/Bioacem!$E$38</f>
        <v>3.9502357189272995E-3</v>
      </c>
      <c r="M31" s="111"/>
      <c r="N31" s="187">
        <f>+'G. Extra'!I34</f>
        <v>-41.519999999999982</v>
      </c>
      <c r="O31" s="107">
        <f>+'G. Extra'!J34</f>
        <v>-21.069999999999936</v>
      </c>
      <c r="P31" s="102">
        <f>IF(N31=0,0,N31/'G. Extra'!E34)</f>
        <v>-4.6509022884858781E-2</v>
      </c>
      <c r="Q31" s="102">
        <f>+O31/'G. Extra'!$E$38</f>
        <v>-1.807578274058715E-3</v>
      </c>
      <c r="R31" s="111"/>
      <c r="S31" s="163">
        <f>+'G. Corriente'!F34</f>
        <v>3500</v>
      </c>
      <c r="T31" s="78">
        <f>+Bioacem!F34</f>
        <v>2800</v>
      </c>
      <c r="U31" s="111">
        <f>+'G. Extra'!F34</f>
        <v>1800</v>
      </c>
      <c r="V31" s="189"/>
      <c r="W31" s="76"/>
      <c r="X31" s="181"/>
    </row>
    <row r="32" spans="2:24" x14ac:dyDescent="0.15">
      <c r="B32" s="18">
        <v>29</v>
      </c>
      <c r="C32" s="25" t="s">
        <v>12</v>
      </c>
      <c r="D32" s="187">
        <f>+'G. Corriente'!I35</f>
        <v>0</v>
      </c>
      <c r="E32" s="107">
        <f>+'G. Corriente'!J35</f>
        <v>-68.310000000005402</v>
      </c>
      <c r="F32" s="102">
        <f>IF(D32=0,0,D32/'G. Corriente'!E35)</f>
        <v>0</v>
      </c>
      <c r="G32" s="102">
        <f>+E32/'G. Corriente'!$E$38</f>
        <v>-6.4862616780726572E-4</v>
      </c>
      <c r="H32" s="111"/>
      <c r="I32" s="187">
        <f>+Bioacem!I35</f>
        <v>0</v>
      </c>
      <c r="J32" s="107">
        <f>+Bioacem!J35</f>
        <v>480.90299999999661</v>
      </c>
      <c r="K32" s="102">
        <f>IF(I32=0,0,I32/Bioacem!E35)</f>
        <v>0</v>
      </c>
      <c r="L32" s="102">
        <f>J32/Bioacem!$E$38</f>
        <v>3.9502357189272995E-3</v>
      </c>
      <c r="M32" s="111"/>
      <c r="N32" s="187">
        <f>+'G. Extra'!I35</f>
        <v>0</v>
      </c>
      <c r="O32" s="107">
        <f>+'G. Extra'!J35</f>
        <v>-21.069999999999936</v>
      </c>
      <c r="P32" s="102">
        <f>IF(N32=0,0,N32/'G. Extra'!E35)</f>
        <v>0</v>
      </c>
      <c r="Q32" s="102">
        <f>+O32/'G. Extra'!$E$38</f>
        <v>-1.807578274058715E-3</v>
      </c>
      <c r="R32" s="111"/>
      <c r="S32" s="163">
        <f>+'G. Corriente'!F35</f>
        <v>0</v>
      </c>
      <c r="T32" s="78">
        <f>+Bioacem!F35</f>
        <v>0</v>
      </c>
      <c r="U32" s="111">
        <f>+'G. Extra'!F35</f>
        <v>0</v>
      </c>
      <c r="V32" s="189"/>
      <c r="W32" s="76"/>
      <c r="X32" s="181"/>
    </row>
    <row r="33" spans="2:24" x14ac:dyDescent="0.15">
      <c r="B33" s="18">
        <v>30</v>
      </c>
      <c r="C33" s="118" t="s">
        <v>13</v>
      </c>
      <c r="D33" s="187">
        <f>+'G. Corriente'!I36</f>
        <v>0</v>
      </c>
      <c r="E33" s="107">
        <f>+'G. Corriente'!J36</f>
        <v>-68.310000000005402</v>
      </c>
      <c r="F33" s="102">
        <f>IF(D33=0,0,D33/'G. Corriente'!E36)</f>
        <v>0</v>
      </c>
      <c r="G33" s="102">
        <f>+E33/'G. Corriente'!$E$38</f>
        <v>-6.4862616780726572E-4</v>
      </c>
      <c r="H33" s="111"/>
      <c r="I33" s="187">
        <f>+Bioacem!I36</f>
        <v>0</v>
      </c>
      <c r="J33" s="107">
        <f>+Bioacem!J36</f>
        <v>480.90299999999661</v>
      </c>
      <c r="K33" s="102">
        <f>IF(I33=0,0,I33/Bioacem!E36)</f>
        <v>0</v>
      </c>
      <c r="L33" s="102">
        <f>J33/Bioacem!$E$38</f>
        <v>3.9502357189272995E-3</v>
      </c>
      <c r="M33" s="111"/>
      <c r="N33" s="187">
        <f>+'G. Extra'!I36</f>
        <v>0</v>
      </c>
      <c r="O33" s="107">
        <f>+'G. Extra'!J36</f>
        <v>-21.069999999999936</v>
      </c>
      <c r="P33" s="102">
        <f>IF(N33=0,0,N33/'G. Extra'!E36)</f>
        <v>0</v>
      </c>
      <c r="Q33" s="102">
        <f>+O33/'G. Extra'!$E$38</f>
        <v>-1.807578274058715E-3</v>
      </c>
      <c r="R33" s="111"/>
      <c r="S33" s="163">
        <f>+'G. Corriente'!F36</f>
        <v>0</v>
      </c>
      <c r="T33" s="78">
        <f>+Bioacem!F36</f>
        <v>0</v>
      </c>
      <c r="U33" s="111">
        <f>+'G. Extra'!F36</f>
        <v>0</v>
      </c>
      <c r="V33" s="189"/>
      <c r="W33" s="76"/>
      <c r="X33" s="181"/>
    </row>
    <row r="34" spans="2:24" ht="14" thickBot="1" x14ac:dyDescent="0.2">
      <c r="B34" s="19">
        <v>31</v>
      </c>
      <c r="C34" s="26" t="s">
        <v>14</v>
      </c>
      <c r="D34" s="447">
        <f>+'G. Corriente'!I37</f>
        <v>0</v>
      </c>
      <c r="E34" s="139">
        <f>+'G. Corriente'!J37</f>
        <v>-68.310000000005402</v>
      </c>
      <c r="F34" s="103">
        <f>IF(D34=0,0,D34/'G. Corriente'!E37)</f>
        <v>0</v>
      </c>
      <c r="G34" s="103">
        <f>+E34/'G. Corriente'!$E$38</f>
        <v>-6.4862616780726572E-4</v>
      </c>
      <c r="H34" s="126"/>
      <c r="I34" s="447">
        <f>+Bioacem!I37</f>
        <v>0</v>
      </c>
      <c r="J34" s="139">
        <f>+Bioacem!J37</f>
        <v>480.90299999999661</v>
      </c>
      <c r="K34" s="103">
        <f>IF(I34=0,0,I34/Bioacem!E37)</f>
        <v>0</v>
      </c>
      <c r="L34" s="103">
        <f>J34/Bioacem!$E$38</f>
        <v>3.9502357189272995E-3</v>
      </c>
      <c r="M34" s="126"/>
      <c r="N34" s="447">
        <f>+'G. Extra'!I37</f>
        <v>0</v>
      </c>
      <c r="O34" s="139">
        <f>+'G. Extra'!J37</f>
        <v>-21.069999999999936</v>
      </c>
      <c r="P34" s="103">
        <f>IF(N34=0,0,N34/'G. Extra'!E37)</f>
        <v>0</v>
      </c>
      <c r="Q34" s="103">
        <f>+O34/'G. Extra'!$E$38</f>
        <v>-1.807578274058715E-3</v>
      </c>
      <c r="R34" s="126"/>
      <c r="S34" s="197">
        <f>+'G. Corriente'!F37</f>
        <v>0</v>
      </c>
      <c r="T34" s="178">
        <f>+Bioacem!F37</f>
        <v>0</v>
      </c>
      <c r="U34" s="198">
        <f>+'G. Extra'!F37</f>
        <v>0</v>
      </c>
      <c r="V34" s="190"/>
      <c r="W34" s="125"/>
      <c r="X34" s="182"/>
    </row>
    <row r="35" spans="2:24" x14ac:dyDescent="0.15"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164">
        <f>SUM(S4:S34)</f>
        <v>104600</v>
      </c>
      <c r="T35" s="179">
        <f t="shared" ref="T35:U35" si="0">SUM(T4:T34)</f>
        <v>123400</v>
      </c>
      <c r="U35" s="180">
        <f t="shared" si="0"/>
        <v>12300</v>
      </c>
      <c r="V35" s="28"/>
      <c r="W35" s="28"/>
      <c r="X35" s="28"/>
    </row>
    <row r="36" spans="2:24" ht="14" thickBot="1" x14ac:dyDescent="0.2">
      <c r="S36" s="593">
        <f>+S35+T35+U35</f>
        <v>240300</v>
      </c>
      <c r="T36" s="594"/>
      <c r="U36" s="599"/>
    </row>
    <row r="38" spans="2:24" ht="14" thickBot="1" x14ac:dyDescent="0.2"/>
    <row r="39" spans="2:24" x14ac:dyDescent="0.15">
      <c r="C39" s="584"/>
      <c r="D39" s="585"/>
      <c r="E39" s="119" t="s">
        <v>76</v>
      </c>
      <c r="F39" s="119" t="s">
        <v>77</v>
      </c>
      <c r="G39" s="119" t="s">
        <v>78</v>
      </c>
      <c r="H39" s="119" t="s">
        <v>79</v>
      </c>
      <c r="I39" s="119" t="s">
        <v>80</v>
      </c>
      <c r="J39" s="119" t="s">
        <v>81</v>
      </c>
      <c r="K39" s="119" t="s">
        <v>82</v>
      </c>
      <c r="L39" s="119" t="s">
        <v>83</v>
      </c>
      <c r="M39" s="119" t="s">
        <v>84</v>
      </c>
      <c r="N39" s="119" t="s">
        <v>85</v>
      </c>
      <c r="O39" s="119" t="s">
        <v>86</v>
      </c>
      <c r="P39" s="239" t="s">
        <v>87</v>
      </c>
    </row>
    <row r="40" spans="2:24" x14ac:dyDescent="0.15">
      <c r="C40" s="600" t="s">
        <v>30</v>
      </c>
      <c r="D40" s="571"/>
      <c r="E40" s="76">
        <v>-439.38</v>
      </c>
      <c r="F40" s="76">
        <v>-636.51</v>
      </c>
      <c r="G40" s="76">
        <v>-383.48</v>
      </c>
      <c r="H40" s="76">
        <v>-450.94</v>
      </c>
      <c r="I40" s="76">
        <v>-152.58000000000001</v>
      </c>
      <c r="J40" s="76">
        <v>-245.67</v>
      </c>
      <c r="K40" s="76">
        <v>133.1</v>
      </c>
      <c r="L40" s="76"/>
      <c r="M40" s="76"/>
      <c r="N40" s="76"/>
      <c r="O40" s="76"/>
      <c r="P40" s="181"/>
    </row>
    <row r="41" spans="2:24" x14ac:dyDescent="0.15">
      <c r="C41" s="600" t="s">
        <v>100</v>
      </c>
      <c r="D41" s="571"/>
      <c r="E41" s="76">
        <v>403.84</v>
      </c>
      <c r="F41" s="76">
        <v>-3.72</v>
      </c>
      <c r="G41" s="76">
        <v>114.7</v>
      </c>
      <c r="H41" s="76">
        <v>64.989999999999995</v>
      </c>
      <c r="I41" s="76">
        <v>179.03</v>
      </c>
      <c r="J41" s="76">
        <v>173.61</v>
      </c>
      <c r="K41" s="76">
        <v>364.6</v>
      </c>
      <c r="L41" s="76"/>
      <c r="M41" s="76"/>
      <c r="N41" s="76"/>
      <c r="O41" s="76"/>
      <c r="P41" s="181"/>
    </row>
    <row r="42" spans="2:24" ht="14" thickBot="1" x14ac:dyDescent="0.2">
      <c r="C42" s="593" t="s">
        <v>31</v>
      </c>
      <c r="D42" s="594"/>
      <c r="E42" s="125">
        <v>12.36</v>
      </c>
      <c r="F42" s="125">
        <v>9.83</v>
      </c>
      <c r="G42" s="125">
        <v>-14.91</v>
      </c>
      <c r="H42" s="125">
        <v>143.99</v>
      </c>
      <c r="I42" s="125">
        <v>3.05</v>
      </c>
      <c r="J42" s="125">
        <v>14.22</v>
      </c>
      <c r="K42" s="125">
        <v>-67.62</v>
      </c>
      <c r="L42" s="125"/>
      <c r="M42" s="125"/>
      <c r="N42" s="125"/>
      <c r="O42" s="125"/>
      <c r="P42" s="182"/>
    </row>
    <row r="43" spans="2:24" x14ac:dyDescent="0.15">
      <c r="K43" s="595"/>
    </row>
    <row r="44" spans="2:24" x14ac:dyDescent="0.15">
      <c r="K44" s="596"/>
    </row>
    <row r="45" spans="2:24" x14ac:dyDescent="0.15">
      <c r="K45" s="596"/>
    </row>
    <row r="46" spans="2:24" x14ac:dyDescent="0.15">
      <c r="K46" s="596"/>
    </row>
  </sheetData>
  <mergeCells count="9">
    <mergeCell ref="C42:D42"/>
    <mergeCell ref="C39:D39"/>
    <mergeCell ref="K43:K46"/>
    <mergeCell ref="B3:C3"/>
    <mergeCell ref="S2:X2"/>
    <mergeCell ref="S36:U36"/>
    <mergeCell ref="D2:R2"/>
    <mergeCell ref="C40:D40"/>
    <mergeCell ref="C41:D4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CM27620"/>
  <sheetViews>
    <sheetView showGridLines="0" topLeftCell="C1" zoomScale="120" zoomScaleNormal="120" workbookViewId="0">
      <selection activeCell="J9" sqref="J9"/>
    </sheetView>
  </sheetViews>
  <sheetFormatPr baseColWidth="10" defaultColWidth="12.5" defaultRowHeight="15" customHeight="1" x14ac:dyDescent="0.15"/>
  <cols>
    <col min="1" max="1" width="3.5" customWidth="1"/>
    <col min="2" max="2" width="3" bestFit="1" customWidth="1"/>
    <col min="3" max="3" width="3.83203125" customWidth="1"/>
    <col min="4" max="4" width="13.5" customWidth="1"/>
    <col min="5" max="5" width="13.1640625" customWidth="1"/>
    <col min="6" max="7" width="13" customWidth="1"/>
    <col min="8" max="8" width="10.1640625" bestFit="1" customWidth="1"/>
    <col min="9" max="9" width="10" customWidth="1"/>
    <col min="10" max="11" width="11.5" customWidth="1"/>
    <col min="12" max="12" width="11.5" bestFit="1" customWidth="1"/>
    <col min="13" max="13" width="11.5" customWidth="1"/>
    <col min="14" max="14" width="11.1640625" bestFit="1" customWidth="1"/>
    <col min="15" max="15" width="10.33203125" customWidth="1"/>
    <col min="16" max="17" width="11.5" customWidth="1"/>
    <col min="18" max="19" width="10.33203125" customWidth="1"/>
    <col min="20" max="20" width="9.1640625" bestFit="1" customWidth="1"/>
    <col min="21" max="21" width="10.33203125" customWidth="1"/>
    <col min="22" max="23" width="11.5" customWidth="1"/>
    <col min="24" max="25" width="12.1640625" customWidth="1"/>
    <col min="26" max="26" width="10" bestFit="1" customWidth="1"/>
    <col min="27" max="27" width="10" customWidth="1"/>
    <col min="28" max="29" width="11.5" customWidth="1"/>
    <col min="30" max="31" width="10.33203125" customWidth="1"/>
    <col min="32" max="33" width="10" customWidth="1"/>
    <col min="34" max="35" width="11.5" customWidth="1"/>
    <col min="36" max="37" width="10.33203125" customWidth="1"/>
    <col min="38" max="39" width="10" customWidth="1"/>
    <col min="40" max="41" width="11.5" customWidth="1"/>
    <col min="42" max="43" width="11" customWidth="1"/>
    <col min="44" max="45" width="10" customWidth="1"/>
    <col min="46" max="46" width="11" customWidth="1"/>
    <col min="47" max="49" width="10.33203125" customWidth="1"/>
    <col min="50" max="51" width="10" customWidth="1"/>
    <col min="52" max="52" width="11" bestFit="1" customWidth="1"/>
    <col min="53" max="55" width="10.33203125" customWidth="1"/>
    <col min="56" max="57" width="12" customWidth="1"/>
    <col min="58" max="61" width="10.33203125" customWidth="1"/>
    <col min="62" max="62" width="10" bestFit="1" customWidth="1"/>
    <col min="63" max="63" width="10" customWidth="1"/>
    <col min="64" max="67" width="10.33203125" customWidth="1"/>
    <col min="68" max="68" width="10" bestFit="1" customWidth="1"/>
    <col min="69" max="69" width="10" customWidth="1"/>
    <col min="70" max="73" width="10.33203125" customWidth="1"/>
    <col min="74" max="75" width="10.83203125" customWidth="1"/>
    <col min="76" max="79" width="10.33203125" customWidth="1"/>
    <col min="80" max="81" width="10.83203125" customWidth="1"/>
    <col min="82" max="83" width="12" bestFit="1" customWidth="1"/>
    <col min="84" max="84" width="13.6640625" customWidth="1"/>
    <col min="85" max="85" width="13.6640625" bestFit="1" customWidth="1"/>
    <col min="86" max="86" width="13.33203125" customWidth="1"/>
    <col min="87" max="88" width="11" bestFit="1" customWidth="1"/>
    <col min="89" max="89" width="10.5" customWidth="1"/>
    <col min="90" max="90" width="12" bestFit="1" customWidth="1"/>
  </cols>
  <sheetData>
    <row r="1" spans="2:90" ht="12.75" customHeight="1" x14ac:dyDescent="0.15">
      <c r="B1" s="559" t="s">
        <v>0</v>
      </c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  <c r="O1" s="560"/>
      <c r="P1" s="560"/>
      <c r="Q1" s="560"/>
      <c r="R1" s="560"/>
      <c r="S1" s="560"/>
      <c r="T1" s="560"/>
      <c r="U1" s="560"/>
      <c r="V1" s="560"/>
    </row>
    <row r="2" spans="2:90" ht="12.75" customHeight="1" x14ac:dyDescent="0.15">
      <c r="B2" s="559" t="s">
        <v>32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60"/>
      <c r="R2" s="560"/>
      <c r="S2" s="560"/>
      <c r="T2" s="560"/>
      <c r="U2" s="560"/>
      <c r="V2" s="560"/>
      <c r="X2" s="1"/>
      <c r="Y2" s="1"/>
      <c r="Z2" s="1"/>
      <c r="AA2" s="1"/>
    </row>
    <row r="3" spans="2:90" ht="12.75" customHeight="1" x14ac:dyDescent="0.15">
      <c r="B3" s="559" t="s">
        <v>19</v>
      </c>
      <c r="C3" s="560"/>
      <c r="D3" s="560"/>
      <c r="E3" s="560"/>
      <c r="F3" s="560"/>
      <c r="G3" s="560"/>
      <c r="H3" s="560"/>
      <c r="I3" s="560"/>
      <c r="J3" s="560"/>
      <c r="K3" s="560"/>
      <c r="L3" s="560"/>
      <c r="M3" s="560"/>
      <c r="N3" s="560"/>
      <c r="O3" s="560"/>
      <c r="P3" s="560"/>
      <c r="Q3" s="560"/>
      <c r="R3" s="560"/>
      <c r="S3" s="560"/>
      <c r="T3" s="560"/>
      <c r="U3" s="560"/>
      <c r="V3" s="560"/>
      <c r="X3" s="250"/>
      <c r="Y3" s="250"/>
      <c r="Z3" s="1"/>
      <c r="AA3" s="1"/>
    </row>
    <row r="4" spans="2:90" ht="12.75" customHeight="1" x14ac:dyDescent="0.15">
      <c r="B4" s="2"/>
      <c r="C4" s="2"/>
      <c r="D4" s="2"/>
      <c r="E4" s="2"/>
      <c r="F4" s="2"/>
      <c r="G4" s="2"/>
      <c r="H4" s="2"/>
      <c r="I4" s="2"/>
      <c r="J4" s="561"/>
      <c r="K4" s="561"/>
      <c r="L4" s="560"/>
      <c r="M4" s="560"/>
      <c r="N4" s="560"/>
      <c r="P4" s="82"/>
      <c r="Q4" s="82"/>
      <c r="R4" s="326"/>
      <c r="S4" s="326"/>
      <c r="T4" s="82"/>
      <c r="U4" s="82"/>
      <c r="V4" s="2"/>
      <c r="W4" s="2"/>
      <c r="X4" s="1"/>
      <c r="Y4" s="1"/>
      <c r="Z4" s="1"/>
      <c r="AA4" s="1"/>
    </row>
    <row r="5" spans="2:90" ht="12.75" customHeight="1" thickBot="1" x14ac:dyDescent="0.2">
      <c r="B5" s="3"/>
      <c r="D5" s="559"/>
      <c r="E5" s="559"/>
      <c r="F5" s="560"/>
      <c r="G5" s="560"/>
      <c r="H5" s="560"/>
      <c r="I5" s="560"/>
      <c r="J5" s="560"/>
      <c r="K5" s="560"/>
      <c r="L5" s="560"/>
      <c r="M5" s="560"/>
      <c r="N5" s="560"/>
      <c r="O5" s="560"/>
      <c r="P5" s="560"/>
      <c r="Q5" s="560"/>
      <c r="R5" s="560"/>
      <c r="S5" s="560"/>
      <c r="T5" s="560"/>
      <c r="U5" s="560"/>
      <c r="V5" s="560"/>
      <c r="W5" s="560"/>
      <c r="X5" s="560"/>
      <c r="Y5" s="560"/>
      <c r="Z5" s="560"/>
      <c r="AA5" s="560"/>
      <c r="AB5" s="560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</row>
    <row r="6" spans="2:90" ht="14" thickBot="1" x14ac:dyDescent="0.2">
      <c r="D6" s="543" t="s">
        <v>212</v>
      </c>
      <c r="E6" s="544"/>
      <c r="F6" s="544"/>
      <c r="G6" s="544"/>
      <c r="H6" s="544"/>
      <c r="I6" s="545"/>
      <c r="J6" s="554" t="s">
        <v>174</v>
      </c>
      <c r="K6" s="552"/>
      <c r="L6" s="552"/>
      <c r="M6" s="552"/>
      <c r="N6" s="552"/>
      <c r="O6" s="553"/>
      <c r="P6" s="551" t="s">
        <v>198</v>
      </c>
      <c r="Q6" s="552"/>
      <c r="R6" s="552"/>
      <c r="S6" s="552"/>
      <c r="T6" s="552"/>
      <c r="U6" s="553"/>
      <c r="V6" s="551" t="s">
        <v>215</v>
      </c>
      <c r="W6" s="552"/>
      <c r="X6" s="552"/>
      <c r="Y6" s="552"/>
      <c r="Z6" s="552"/>
      <c r="AA6" s="552"/>
      <c r="AB6" s="543" t="s">
        <v>185</v>
      </c>
      <c r="AC6" s="544"/>
      <c r="AD6" s="544"/>
      <c r="AE6" s="544"/>
      <c r="AF6" s="544"/>
      <c r="AG6" s="545"/>
      <c r="AH6" s="554" t="s">
        <v>214</v>
      </c>
      <c r="AI6" s="552"/>
      <c r="AJ6" s="552"/>
      <c r="AK6" s="552"/>
      <c r="AL6" s="552"/>
      <c r="AM6" s="553"/>
      <c r="AN6" s="551" t="s">
        <v>194</v>
      </c>
      <c r="AO6" s="552"/>
      <c r="AP6" s="552"/>
      <c r="AQ6" s="552"/>
      <c r="AR6" s="552"/>
      <c r="AS6" s="552"/>
      <c r="AT6" s="543" t="s">
        <v>175</v>
      </c>
      <c r="AU6" s="544"/>
      <c r="AV6" s="544"/>
      <c r="AW6" s="544"/>
      <c r="AX6" s="544"/>
      <c r="AY6" s="545"/>
      <c r="AZ6" s="554" t="s">
        <v>186</v>
      </c>
      <c r="BA6" s="552"/>
      <c r="BB6" s="552"/>
      <c r="BC6" s="552"/>
      <c r="BD6" s="552"/>
      <c r="BE6" s="553"/>
      <c r="BF6" s="551" t="s">
        <v>157</v>
      </c>
      <c r="BG6" s="552"/>
      <c r="BH6" s="552"/>
      <c r="BI6" s="552"/>
      <c r="BJ6" s="552"/>
      <c r="BK6" s="553"/>
      <c r="BL6" s="551" t="s">
        <v>217</v>
      </c>
      <c r="BM6" s="552"/>
      <c r="BN6" s="552"/>
      <c r="BO6" s="552"/>
      <c r="BP6" s="552"/>
      <c r="BQ6" s="552"/>
      <c r="BR6" s="543" t="s">
        <v>208</v>
      </c>
      <c r="BS6" s="544"/>
      <c r="BT6" s="544"/>
      <c r="BU6" s="544"/>
      <c r="BV6" s="544"/>
      <c r="BW6" s="545"/>
      <c r="BX6" s="543" t="s">
        <v>224</v>
      </c>
      <c r="BY6" s="544"/>
      <c r="BZ6" s="544"/>
      <c r="CA6" s="544"/>
      <c r="CB6" s="544"/>
      <c r="CC6" s="545"/>
      <c r="CK6" s="2"/>
    </row>
    <row r="7" spans="2:90" ht="14" thickBot="1" x14ac:dyDescent="0.2">
      <c r="D7" s="440" t="s">
        <v>176</v>
      </c>
      <c r="E7" s="441" t="s">
        <v>177</v>
      </c>
      <c r="F7" s="441" t="s">
        <v>178</v>
      </c>
      <c r="G7" s="441" t="s">
        <v>179</v>
      </c>
      <c r="H7" s="441" t="s">
        <v>180</v>
      </c>
      <c r="I7" s="442" t="s">
        <v>181</v>
      </c>
      <c r="J7" s="57" t="s">
        <v>176</v>
      </c>
      <c r="K7" s="59" t="s">
        <v>177</v>
      </c>
      <c r="L7" s="59" t="s">
        <v>178</v>
      </c>
      <c r="M7" s="59" t="s">
        <v>179</v>
      </c>
      <c r="N7" s="59" t="s">
        <v>180</v>
      </c>
      <c r="O7" s="58" t="s">
        <v>181</v>
      </c>
      <c r="P7" s="57" t="s">
        <v>176</v>
      </c>
      <c r="Q7" s="59" t="s">
        <v>177</v>
      </c>
      <c r="R7" s="59" t="s">
        <v>178</v>
      </c>
      <c r="S7" s="59" t="s">
        <v>179</v>
      </c>
      <c r="T7" s="59" t="s">
        <v>180</v>
      </c>
      <c r="U7" s="58" t="s">
        <v>181</v>
      </c>
      <c r="V7" s="57" t="s">
        <v>176</v>
      </c>
      <c r="W7" s="59" t="s">
        <v>177</v>
      </c>
      <c r="X7" s="59" t="s">
        <v>178</v>
      </c>
      <c r="Y7" s="59" t="s">
        <v>179</v>
      </c>
      <c r="Z7" s="59" t="s">
        <v>180</v>
      </c>
      <c r="AA7" s="58" t="s">
        <v>181</v>
      </c>
      <c r="AB7" s="57" t="s">
        <v>176</v>
      </c>
      <c r="AC7" s="59" t="s">
        <v>177</v>
      </c>
      <c r="AD7" s="59" t="s">
        <v>178</v>
      </c>
      <c r="AE7" s="59" t="s">
        <v>179</v>
      </c>
      <c r="AF7" s="59" t="s">
        <v>180</v>
      </c>
      <c r="AG7" s="58" t="s">
        <v>181</v>
      </c>
      <c r="AH7" s="440" t="s">
        <v>176</v>
      </c>
      <c r="AI7" s="441" t="s">
        <v>177</v>
      </c>
      <c r="AJ7" s="441" t="s">
        <v>178</v>
      </c>
      <c r="AK7" s="441" t="s">
        <v>179</v>
      </c>
      <c r="AL7" s="441" t="s">
        <v>180</v>
      </c>
      <c r="AM7" s="442" t="s">
        <v>181</v>
      </c>
      <c r="AN7" s="57" t="s">
        <v>176</v>
      </c>
      <c r="AO7" s="59" t="s">
        <v>177</v>
      </c>
      <c r="AP7" s="59" t="s">
        <v>178</v>
      </c>
      <c r="AQ7" s="59" t="s">
        <v>179</v>
      </c>
      <c r="AR7" s="59" t="s">
        <v>180</v>
      </c>
      <c r="AS7" s="58" t="s">
        <v>181</v>
      </c>
      <c r="AT7" s="57" t="s">
        <v>176</v>
      </c>
      <c r="AU7" s="59" t="s">
        <v>177</v>
      </c>
      <c r="AV7" s="59" t="s">
        <v>178</v>
      </c>
      <c r="AW7" s="59" t="s">
        <v>179</v>
      </c>
      <c r="AX7" s="59" t="s">
        <v>180</v>
      </c>
      <c r="AY7" s="58" t="s">
        <v>181</v>
      </c>
      <c r="AZ7" s="57" t="s">
        <v>176</v>
      </c>
      <c r="BA7" s="59" t="s">
        <v>177</v>
      </c>
      <c r="BB7" s="59" t="s">
        <v>178</v>
      </c>
      <c r="BC7" s="59" t="s">
        <v>179</v>
      </c>
      <c r="BD7" s="59" t="s">
        <v>180</v>
      </c>
      <c r="BE7" s="58" t="s">
        <v>181</v>
      </c>
      <c r="BF7" s="57" t="s">
        <v>176</v>
      </c>
      <c r="BG7" s="59" t="s">
        <v>177</v>
      </c>
      <c r="BH7" s="59" t="s">
        <v>178</v>
      </c>
      <c r="BI7" s="59" t="s">
        <v>179</v>
      </c>
      <c r="BJ7" s="59" t="s">
        <v>180</v>
      </c>
      <c r="BK7" s="58" t="s">
        <v>181</v>
      </c>
      <c r="BL7" s="57" t="s">
        <v>176</v>
      </c>
      <c r="BM7" s="59" t="s">
        <v>177</v>
      </c>
      <c r="BN7" s="59" t="s">
        <v>178</v>
      </c>
      <c r="BO7" s="59" t="s">
        <v>179</v>
      </c>
      <c r="BP7" s="59" t="s">
        <v>180</v>
      </c>
      <c r="BQ7" s="58" t="s">
        <v>181</v>
      </c>
      <c r="BR7" s="57" t="s">
        <v>176</v>
      </c>
      <c r="BS7" s="59" t="s">
        <v>177</v>
      </c>
      <c r="BT7" s="59" t="s">
        <v>178</v>
      </c>
      <c r="BU7" s="59" t="s">
        <v>179</v>
      </c>
      <c r="BV7" s="59" t="s">
        <v>180</v>
      </c>
      <c r="BW7" s="425" t="s">
        <v>181</v>
      </c>
      <c r="BX7" s="57" t="s">
        <v>176</v>
      </c>
      <c r="BY7" s="59" t="s">
        <v>177</v>
      </c>
      <c r="BZ7" s="59" t="s">
        <v>178</v>
      </c>
      <c r="CA7" s="59" t="s">
        <v>179</v>
      </c>
      <c r="CB7" s="59" t="s">
        <v>180</v>
      </c>
      <c r="CC7" s="425" t="s">
        <v>181</v>
      </c>
      <c r="CD7" s="479" t="s">
        <v>33</v>
      </c>
      <c r="CE7" s="480" t="s">
        <v>34</v>
      </c>
      <c r="CF7" s="481" t="s">
        <v>35</v>
      </c>
      <c r="CG7" s="48" t="s">
        <v>38</v>
      </c>
      <c r="CH7" s="59" t="s">
        <v>20</v>
      </c>
      <c r="CI7" s="564" t="s">
        <v>37</v>
      </c>
      <c r="CJ7" s="565"/>
      <c r="CK7" s="2"/>
    </row>
    <row r="8" spans="2:90" ht="13" x14ac:dyDescent="0.15">
      <c r="B8" s="62">
        <v>1</v>
      </c>
      <c r="C8" s="432" t="str">
        <f>+Bioacem!C7</f>
        <v>D</v>
      </c>
      <c r="D8" s="487"/>
      <c r="E8" s="488">
        <v>664.06899999999996</v>
      </c>
      <c r="F8" s="488"/>
      <c r="G8" s="488"/>
      <c r="H8" s="31">
        <f>89+33+3+2+2</f>
        <v>129</v>
      </c>
      <c r="I8" s="32">
        <v>2</v>
      </c>
      <c r="J8" s="436"/>
      <c r="K8" s="47"/>
      <c r="L8" s="47">
        <v>396.90800000000002</v>
      </c>
      <c r="M8" s="47"/>
      <c r="N8" s="47">
        <f>52+24+2+1+1</f>
        <v>80</v>
      </c>
      <c r="O8" s="415" t="s">
        <v>216</v>
      </c>
      <c r="P8" s="46">
        <v>1041.0440000000001</v>
      </c>
      <c r="Q8" s="417"/>
      <c r="R8" s="417"/>
      <c r="S8" s="417"/>
      <c r="T8" s="47">
        <f>117+107+2</f>
        <v>226</v>
      </c>
      <c r="U8" s="415">
        <v>4</v>
      </c>
      <c r="V8" s="46"/>
      <c r="W8" s="47">
        <v>631.48400000000004</v>
      </c>
      <c r="X8" s="47"/>
      <c r="Y8" s="47"/>
      <c r="Z8" s="47">
        <f>76+47+6+1</f>
        <v>130</v>
      </c>
      <c r="AA8" s="415">
        <v>2</v>
      </c>
      <c r="AB8" s="46"/>
      <c r="AC8" s="47">
        <v>583.76400000000001</v>
      </c>
      <c r="AD8" s="417"/>
      <c r="AE8" s="417"/>
      <c r="AF8" s="47">
        <f>50+34+4+1+1+2</f>
        <v>92</v>
      </c>
      <c r="AG8" s="415">
        <v>3</v>
      </c>
      <c r="AH8" s="502"/>
      <c r="AI8" s="503"/>
      <c r="AJ8" s="31"/>
      <c r="AK8" s="31">
        <v>229.988</v>
      </c>
      <c r="AL8" s="31">
        <f>27+19+1</f>
        <v>47</v>
      </c>
      <c r="AM8" s="32">
        <v>4</v>
      </c>
      <c r="AN8" s="501"/>
      <c r="AO8" s="47"/>
      <c r="AP8" s="417">
        <v>542.99699999999996</v>
      </c>
      <c r="AQ8" s="417"/>
      <c r="AR8" s="47">
        <f>65+30+1+1+1</f>
        <v>98</v>
      </c>
      <c r="AS8" s="415">
        <v>1</v>
      </c>
      <c r="AT8" s="46"/>
      <c r="AU8" s="47"/>
      <c r="AV8" s="47"/>
      <c r="AW8" s="47"/>
      <c r="AX8" s="47"/>
      <c r="AY8" s="415"/>
      <c r="AZ8" s="424">
        <v>543.904</v>
      </c>
      <c r="BA8" s="47"/>
      <c r="BB8" s="47"/>
      <c r="BC8" s="47"/>
      <c r="BD8" s="47">
        <f>46+39+1+3</f>
        <v>89</v>
      </c>
      <c r="BE8" s="415">
        <v>3</v>
      </c>
      <c r="BF8" s="46"/>
      <c r="BG8" s="417"/>
      <c r="BH8" s="47"/>
      <c r="BI8" s="47"/>
      <c r="BJ8" s="47"/>
      <c r="BK8" s="415"/>
      <c r="BL8" s="46">
        <v>254.137</v>
      </c>
      <c r="BM8" s="47"/>
      <c r="BN8" s="47"/>
      <c r="BO8" s="47"/>
      <c r="BP8" s="47">
        <f>32+23+1+1</f>
        <v>57</v>
      </c>
      <c r="BQ8" s="415">
        <v>3</v>
      </c>
      <c r="BR8" s="46"/>
      <c r="BS8" s="47"/>
      <c r="BT8" s="47">
        <v>263.47899999999998</v>
      </c>
      <c r="BU8" s="47"/>
      <c r="BV8" s="47">
        <f>33+14+2</f>
        <v>49</v>
      </c>
      <c r="BW8" s="415">
        <v>1</v>
      </c>
      <c r="BX8" s="46">
        <v>1000.418</v>
      </c>
      <c r="BY8" s="47"/>
      <c r="BZ8" s="47"/>
      <c r="CA8" s="47"/>
      <c r="CB8" s="47">
        <f>101+102+2+2+1+1+1</f>
        <v>210</v>
      </c>
      <c r="CC8" s="415">
        <v>2</v>
      </c>
      <c r="CD8" s="46">
        <f t="shared" ref="CD8:CD26" si="0">+BR8+BL8+BF8+AZ8+AT8+AN8+AH8+AB8+V8+P8+J8+D8+BX8</f>
        <v>2839.5030000000002</v>
      </c>
      <c r="CE8" s="47">
        <f t="shared" ref="CE8:CE26" si="1">+BS8+BM8+BG8+BA8+AU8+AO8+AI8+AC8+W8+Q8+K8+E8+BY8</f>
        <v>1879.317</v>
      </c>
      <c r="CF8" s="478">
        <f t="shared" ref="CF8:CF26" si="2">+BT8+BN8+BH8+BB8+AV8+AP8+AJ8+AD8+X8+R8+L8+F8+BZ8</f>
        <v>1203.384</v>
      </c>
      <c r="CG8" s="426">
        <f>+D8+F8+J8+L8+P8+R8+V8+X8+AB8+AD8+AH8+AJ8+AN8+AP8+AT8+AV8+AZ8+BB8+BF8+BH8+BR8+BT8+BN8+BL8+E8+K8+Q8+W8+AC8+AI8+AO8+AU8+BA8+BG8+BM8+BS8+G8+M8+S8+Y8+AE8+AK8+AQ8+AW8+BC8+BI8+BO8+BU8+BX8+BY8+BZ8+CA8</f>
        <v>6152.192</v>
      </c>
      <c r="CH8" s="174">
        <f>+Cierre!H3</f>
        <v>6152.2</v>
      </c>
      <c r="CI8" s="174">
        <f>+H8+N8+T8+Z8+AF8+AL8+AR8+AX8+BD8+BJ8+BV8+BP8+CB8</f>
        <v>1207</v>
      </c>
      <c r="CJ8" s="175">
        <f>+Cierre!I3</f>
        <v>1207</v>
      </c>
      <c r="CK8" s="2"/>
      <c r="CL8" s="2"/>
    </row>
    <row r="9" spans="2:90" ht="13" x14ac:dyDescent="0.15">
      <c r="B9" s="63">
        <v>2</v>
      </c>
      <c r="C9" s="433" t="str">
        <f>+Bioacem!C8</f>
        <v>L</v>
      </c>
      <c r="D9" s="291"/>
      <c r="E9" s="489"/>
      <c r="F9" s="489">
        <v>587.44399999999996</v>
      </c>
      <c r="G9" s="489"/>
      <c r="H9" s="30">
        <f>26+13+4+1</f>
        <v>44</v>
      </c>
      <c r="I9" s="34" t="s">
        <v>216</v>
      </c>
      <c r="J9" s="437"/>
      <c r="K9" s="30"/>
      <c r="L9" s="30">
        <v>365.149</v>
      </c>
      <c r="M9" s="30"/>
      <c r="N9" s="30">
        <f>36+19+2+1+1+1</f>
        <v>60</v>
      </c>
      <c r="O9" s="42">
        <v>1</v>
      </c>
      <c r="P9" s="33"/>
      <c r="Q9" s="30">
        <v>364.80500000000001</v>
      </c>
      <c r="R9" s="30"/>
      <c r="S9" s="30"/>
      <c r="T9" s="30">
        <f>15+19+2+2+1</f>
        <v>39</v>
      </c>
      <c r="U9" s="42">
        <v>3</v>
      </c>
      <c r="V9" s="33"/>
      <c r="W9" s="30"/>
      <c r="X9" s="30"/>
      <c r="Y9" s="30"/>
      <c r="Z9" s="30"/>
      <c r="AA9" s="42"/>
      <c r="AB9" s="33"/>
      <c r="AC9" s="30">
        <v>635.822</v>
      </c>
      <c r="AD9" s="30"/>
      <c r="AE9" s="30"/>
      <c r="AF9" s="30">
        <f>62+55+5+4+4+2</f>
        <v>132</v>
      </c>
      <c r="AG9" s="42">
        <v>2</v>
      </c>
      <c r="AH9" s="33">
        <v>718.71299999999997</v>
      </c>
      <c r="AI9" s="30"/>
      <c r="AJ9" s="30"/>
      <c r="AK9" s="30"/>
      <c r="AL9" s="30">
        <f>32+38+11+3+1+1</f>
        <v>86</v>
      </c>
      <c r="AM9" s="34">
        <v>3</v>
      </c>
      <c r="AN9" s="437">
        <v>969.36199999999997</v>
      </c>
      <c r="AO9" s="30"/>
      <c r="AP9" s="30"/>
      <c r="AQ9" s="30"/>
      <c r="AR9" s="30">
        <f>36+12+8+5+5+1</f>
        <v>67</v>
      </c>
      <c r="AS9" s="42">
        <v>3</v>
      </c>
      <c r="AT9" s="99"/>
      <c r="AU9" s="30">
        <v>1150.1199999999999</v>
      </c>
      <c r="AV9" s="30"/>
      <c r="AW9" s="30"/>
      <c r="AX9" s="30">
        <f>85+74+3+9+6+3+2</f>
        <v>182</v>
      </c>
      <c r="AY9" s="42">
        <v>1</v>
      </c>
      <c r="AZ9" s="99">
        <v>810.43299999999999</v>
      </c>
      <c r="BA9" s="30"/>
      <c r="BB9" s="30"/>
      <c r="BC9" s="30"/>
      <c r="BD9" s="30">
        <f>107+67+5+4+3+3+2</f>
        <v>191</v>
      </c>
      <c r="BE9" s="415">
        <v>3</v>
      </c>
      <c r="BF9" s="33"/>
      <c r="BG9" s="30"/>
      <c r="BH9" s="30"/>
      <c r="BI9" s="30"/>
      <c r="BJ9" s="30"/>
      <c r="BK9" s="42"/>
      <c r="BL9" s="33">
        <v>1089.413</v>
      </c>
      <c r="BM9" s="30"/>
      <c r="BN9" s="30"/>
      <c r="BO9" s="30"/>
      <c r="BP9" s="30">
        <f>115+82+6+5+4+2+2</f>
        <v>216</v>
      </c>
      <c r="BQ9" s="42">
        <v>1</v>
      </c>
      <c r="BR9" s="33"/>
      <c r="BS9" s="30"/>
      <c r="BT9" s="30">
        <v>906.05200000000002</v>
      </c>
      <c r="BU9" s="30"/>
      <c r="BV9" s="30">
        <f>49+81+3+3+2+4</f>
        <v>142</v>
      </c>
      <c r="BW9" s="42">
        <v>1</v>
      </c>
      <c r="BX9" s="33"/>
      <c r="BY9" s="30"/>
      <c r="BZ9" s="30"/>
      <c r="CA9" s="30">
        <v>688.94100000000003</v>
      </c>
      <c r="CB9" s="30">
        <f>29+8+11+4+2+11+1</f>
        <v>66</v>
      </c>
      <c r="CC9" s="42">
        <v>4</v>
      </c>
      <c r="CD9" s="33">
        <f t="shared" si="0"/>
        <v>3587.9210000000003</v>
      </c>
      <c r="CE9" s="30">
        <f t="shared" si="1"/>
        <v>2150.7469999999998</v>
      </c>
      <c r="CF9" s="34">
        <f t="shared" si="2"/>
        <v>1858.645</v>
      </c>
      <c r="CG9" s="426">
        <f t="shared" ref="CG9:CG26" si="3">+D9+F9+J9+L9+P9+R9+V9+X9+AB9+AD9+AH9+AJ9+AN9+AP9+AT9+AV9+AZ9+BB9+BF9+BH9+BR9+BT9+BN9+BL9+E9+K9+Q9+W9+AC9+AI9+AO9+AU9+BA9+BG9+BM9+BS9+G9+M9+S9+Y9+AE9+AK9+AQ9+AW9+BC9+BI9+BO9+BU9+BX9+BY9+BZ9+CA9</f>
        <v>8286.2540000000008</v>
      </c>
      <c r="CH9" s="21">
        <f>+Cierre!H4</f>
        <v>8286.2900000000009</v>
      </c>
      <c r="CI9" s="17">
        <f t="shared" ref="CI9:CI26" si="4">+H9+N9+T9+Z9+AF9+AL9+AR9+AX9+BD9+BJ9+BV9+BP9+CB9</f>
        <v>1225</v>
      </c>
      <c r="CJ9" s="22">
        <f>+Cierre!I4</f>
        <v>1225</v>
      </c>
    </row>
    <row r="10" spans="2:90" ht="13" x14ac:dyDescent="0.15">
      <c r="B10" s="63">
        <v>3</v>
      </c>
      <c r="C10" s="433" t="str">
        <f>+Bioacem!C9</f>
        <v>M</v>
      </c>
      <c r="D10" s="291"/>
      <c r="E10" s="489"/>
      <c r="F10" s="489">
        <v>951.28499999999997</v>
      </c>
      <c r="G10" s="489"/>
      <c r="H10" s="30">
        <f>89+14+1+6+2+3</f>
        <v>115</v>
      </c>
      <c r="I10" s="34">
        <v>1</v>
      </c>
      <c r="J10" s="437">
        <v>997.88199999999995</v>
      </c>
      <c r="K10" s="30"/>
      <c r="L10" s="30"/>
      <c r="M10" s="30"/>
      <c r="N10" s="30">
        <f>28+12+45+2+7+2+1+1</f>
        <v>98</v>
      </c>
      <c r="O10" s="42">
        <v>1</v>
      </c>
      <c r="P10" s="33">
        <v>125.179</v>
      </c>
      <c r="Q10" s="30"/>
      <c r="R10" s="30"/>
      <c r="S10" s="30"/>
      <c r="T10" s="30">
        <f>6+10+2+1+1</f>
        <v>20</v>
      </c>
      <c r="U10" s="42">
        <v>4</v>
      </c>
      <c r="V10" s="33"/>
      <c r="W10" s="30">
        <v>757.18499999999995</v>
      </c>
      <c r="X10" s="30"/>
      <c r="Y10" s="30"/>
      <c r="Z10" s="30">
        <f>64+61+3+1+1+1+1+1+1</f>
        <v>134</v>
      </c>
      <c r="AA10" s="42">
        <v>3</v>
      </c>
      <c r="AB10" s="33"/>
      <c r="AC10" s="30"/>
      <c r="AD10" s="30"/>
      <c r="AE10" s="30"/>
      <c r="AF10" s="30"/>
      <c r="AG10" s="42"/>
      <c r="AH10" s="33">
        <v>973.69399999999996</v>
      </c>
      <c r="AI10" s="30"/>
      <c r="AJ10" s="30"/>
      <c r="AK10" s="30"/>
      <c r="AL10" s="30">
        <f>137+89+4+4+4+3+1+1</f>
        <v>243</v>
      </c>
      <c r="AM10" s="34">
        <v>2</v>
      </c>
      <c r="AN10" s="437">
        <v>1187.3399999999999</v>
      </c>
      <c r="AO10" s="30"/>
      <c r="AP10" s="30"/>
      <c r="AQ10" s="30"/>
      <c r="AR10" s="30">
        <f>40+28+19+7+4+2+1</f>
        <v>101</v>
      </c>
      <c r="AS10" s="42">
        <v>3</v>
      </c>
      <c r="AT10" s="33"/>
      <c r="AU10" s="30"/>
      <c r="AV10" s="30"/>
      <c r="AW10" s="30"/>
      <c r="AX10" s="30"/>
      <c r="AY10" s="42"/>
      <c r="AZ10" s="33"/>
      <c r="BA10" s="30">
        <v>837.84299999999996</v>
      </c>
      <c r="BB10" s="30"/>
      <c r="BC10" s="30"/>
      <c r="BD10" s="30">
        <f>81+53+5+5+3+2+1+1</f>
        <v>151</v>
      </c>
      <c r="BE10" s="42">
        <v>2</v>
      </c>
      <c r="BF10" s="33"/>
      <c r="BG10" s="30"/>
      <c r="BH10" s="30"/>
      <c r="BI10" s="30">
        <v>232.55600000000001</v>
      </c>
      <c r="BJ10" s="30">
        <f>20+12+1+1+1</f>
        <v>35</v>
      </c>
      <c r="BK10" s="42">
        <v>4</v>
      </c>
      <c r="BL10" s="33"/>
      <c r="BM10" s="30"/>
      <c r="BN10" s="30">
        <v>653.35799999999995</v>
      </c>
      <c r="BO10" s="30"/>
      <c r="BP10" s="30">
        <f>24+18+7+2+1</f>
        <v>52</v>
      </c>
      <c r="BQ10" s="42" t="s">
        <v>216</v>
      </c>
      <c r="BR10" s="33"/>
      <c r="BS10" s="30"/>
      <c r="BT10" s="30">
        <v>575.56399999999996</v>
      </c>
      <c r="BU10" s="30"/>
      <c r="BV10" s="30">
        <f>55+22+3+2+3+2</f>
        <v>87</v>
      </c>
      <c r="BW10" s="42">
        <v>1</v>
      </c>
      <c r="BX10" s="33">
        <v>1138.875</v>
      </c>
      <c r="BY10" s="30"/>
      <c r="BZ10" s="30"/>
      <c r="CA10" s="30"/>
      <c r="CB10" s="30">
        <f>128+67+10+5+4+3+2+1</f>
        <v>220</v>
      </c>
      <c r="CC10" s="42">
        <v>1</v>
      </c>
      <c r="CD10" s="33">
        <f t="shared" si="0"/>
        <v>4422.9699999999993</v>
      </c>
      <c r="CE10" s="30">
        <f t="shared" si="1"/>
        <v>1595.0279999999998</v>
      </c>
      <c r="CF10" s="34">
        <f t="shared" si="2"/>
        <v>2180.2069999999999</v>
      </c>
      <c r="CG10" s="426">
        <f t="shared" si="3"/>
        <v>8430.7610000000004</v>
      </c>
      <c r="CH10" s="21">
        <f>+Cierre!H5</f>
        <v>8430.76</v>
      </c>
      <c r="CI10" s="17">
        <f t="shared" si="4"/>
        <v>1256</v>
      </c>
      <c r="CJ10" s="22">
        <f>+Cierre!I5</f>
        <v>1256</v>
      </c>
    </row>
    <row r="11" spans="2:90" ht="13" x14ac:dyDescent="0.15">
      <c r="B11" s="63">
        <v>4</v>
      </c>
      <c r="C11" s="433" t="str">
        <f>+Bioacem!C10</f>
        <v>M</v>
      </c>
      <c r="D11" s="291"/>
      <c r="E11" s="489"/>
      <c r="F11" s="489">
        <v>506.95699999999999</v>
      </c>
      <c r="G11" s="489"/>
      <c r="H11" s="30">
        <f>80+1+4+1</f>
        <v>86</v>
      </c>
      <c r="I11" s="34">
        <v>1</v>
      </c>
      <c r="J11" s="437">
        <v>1532.4949999999999</v>
      </c>
      <c r="K11" s="30"/>
      <c r="L11" s="30"/>
      <c r="M11" s="30"/>
      <c r="N11" s="30">
        <f>67+40+4+8+4+23+6</f>
        <v>152</v>
      </c>
      <c r="O11" s="42">
        <v>3</v>
      </c>
      <c r="P11" s="33"/>
      <c r="Q11" s="30"/>
      <c r="R11" s="30">
        <v>548.34799999999996</v>
      </c>
      <c r="S11" s="30"/>
      <c r="T11" s="30">
        <f>43+26+2</f>
        <v>71</v>
      </c>
      <c r="U11" s="42" t="s">
        <v>216</v>
      </c>
      <c r="V11" s="33">
        <v>1139.173</v>
      </c>
      <c r="W11" s="30"/>
      <c r="X11" s="30"/>
      <c r="Y11" s="30"/>
      <c r="Z11" s="30">
        <f>105+82+8+6+4+3+2+1</f>
        <v>211</v>
      </c>
      <c r="AA11" s="42">
        <v>1</v>
      </c>
      <c r="AB11" s="33"/>
      <c r="AC11" s="30"/>
      <c r="AD11" s="30"/>
      <c r="AE11" s="30"/>
      <c r="AF11" s="30"/>
      <c r="AG11" s="42"/>
      <c r="AH11" s="33"/>
      <c r="AI11" s="30">
        <v>1001.202</v>
      </c>
      <c r="AJ11" s="30"/>
      <c r="AK11" s="30"/>
      <c r="AL11" s="30">
        <f>24+30+10+6+4</f>
        <v>74</v>
      </c>
      <c r="AM11" s="34">
        <v>3</v>
      </c>
      <c r="AN11" s="437"/>
      <c r="AO11" s="30"/>
      <c r="AP11" s="30"/>
      <c r="AQ11" s="30"/>
      <c r="AR11" s="30"/>
      <c r="AS11" s="42"/>
      <c r="AT11" s="33"/>
      <c r="AU11" s="30"/>
      <c r="AV11" s="30"/>
      <c r="AW11" s="30"/>
      <c r="AX11" s="30"/>
      <c r="AY11" s="42"/>
      <c r="AZ11" s="33"/>
      <c r="BA11" s="30">
        <v>956.56299999999999</v>
      </c>
      <c r="BB11" s="30"/>
      <c r="BC11" s="30"/>
      <c r="BD11" s="30">
        <f>78+57+6+4+3+3+1</f>
        <v>152</v>
      </c>
      <c r="BE11" s="42">
        <v>1</v>
      </c>
      <c r="BF11" s="33"/>
      <c r="BG11" s="30"/>
      <c r="BH11" s="30"/>
      <c r="BI11" s="30">
        <v>102.999</v>
      </c>
      <c r="BJ11" s="30">
        <f>12+5+1+1</f>
        <v>19</v>
      </c>
      <c r="BK11" s="42">
        <v>4</v>
      </c>
      <c r="BL11" s="33"/>
      <c r="BM11" s="30"/>
      <c r="BN11" s="30">
        <v>785.31200000000001</v>
      </c>
      <c r="BO11" s="30"/>
      <c r="BP11" s="30">
        <f>45+24+3+1+5</f>
        <v>78</v>
      </c>
      <c r="BQ11" s="42" t="s">
        <v>216</v>
      </c>
      <c r="BR11" s="33"/>
      <c r="BS11" s="30">
        <v>979.38</v>
      </c>
      <c r="BT11" s="30"/>
      <c r="BU11" s="30"/>
      <c r="BV11" s="30">
        <f>88+64+7+3+2+2+1</f>
        <v>167</v>
      </c>
      <c r="BW11" s="42">
        <v>2</v>
      </c>
      <c r="BX11" s="33">
        <v>1189.0219999999999</v>
      </c>
      <c r="BY11" s="30"/>
      <c r="BZ11" s="30"/>
      <c r="CA11" s="30"/>
      <c r="CB11" s="30">
        <f>3+118+64+6+5+4+2+1</f>
        <v>203</v>
      </c>
      <c r="CC11" s="42">
        <v>2</v>
      </c>
      <c r="CD11" s="33">
        <f t="shared" si="0"/>
        <v>3860.6899999999996</v>
      </c>
      <c r="CE11" s="30">
        <f t="shared" si="1"/>
        <v>2937.145</v>
      </c>
      <c r="CF11" s="34">
        <f t="shared" si="2"/>
        <v>1840.6169999999997</v>
      </c>
      <c r="CG11" s="426">
        <f t="shared" si="3"/>
        <v>8741.4510000000009</v>
      </c>
      <c r="CH11" s="21">
        <f>+Cierre!H6</f>
        <v>8741.4399999999987</v>
      </c>
      <c r="CI11" s="17">
        <f t="shared" si="4"/>
        <v>1213</v>
      </c>
      <c r="CJ11" s="22">
        <f>+Cierre!I6</f>
        <v>1213</v>
      </c>
    </row>
    <row r="12" spans="2:90" ht="13" x14ac:dyDescent="0.15">
      <c r="B12" s="63">
        <v>5</v>
      </c>
      <c r="C12" s="433" t="str">
        <f>+Bioacem!C11</f>
        <v>J</v>
      </c>
      <c r="D12" s="291"/>
      <c r="E12" s="489"/>
      <c r="F12" s="489">
        <v>646.38</v>
      </c>
      <c r="G12" s="489"/>
      <c r="H12" s="30">
        <f>88+3+3+2+2</f>
        <v>98</v>
      </c>
      <c r="I12" s="34">
        <v>1</v>
      </c>
      <c r="J12" s="437">
        <v>966.46400000000006</v>
      </c>
      <c r="K12" s="30"/>
      <c r="L12" s="30"/>
      <c r="M12" s="30"/>
      <c r="N12" s="30">
        <f>70+37+7+8+4+1+2</f>
        <v>129</v>
      </c>
      <c r="O12" s="42">
        <v>1</v>
      </c>
      <c r="P12" s="33"/>
      <c r="Q12" s="30"/>
      <c r="R12" s="30">
        <v>1279.422</v>
      </c>
      <c r="S12" s="30"/>
      <c r="T12" s="30">
        <f>57+38+5+4+1+7+1</f>
        <v>113</v>
      </c>
      <c r="U12" s="42">
        <v>2</v>
      </c>
      <c r="V12" s="33">
        <v>1469.508</v>
      </c>
      <c r="W12" s="30"/>
      <c r="X12" s="30"/>
      <c r="Y12" s="30"/>
      <c r="Z12" s="30">
        <f>40+19+9+21+5</f>
        <v>94</v>
      </c>
      <c r="AA12" s="42">
        <v>3</v>
      </c>
      <c r="AB12" s="33">
        <v>426.12799999999999</v>
      </c>
      <c r="AC12" s="30"/>
      <c r="AD12" s="30"/>
      <c r="AE12" s="30"/>
      <c r="AF12" s="30">
        <f>11+32+3+2+4</f>
        <v>52</v>
      </c>
      <c r="AG12" s="42">
        <v>2</v>
      </c>
      <c r="AH12" s="33"/>
      <c r="AI12" s="30"/>
      <c r="AJ12" s="30"/>
      <c r="AK12" s="30"/>
      <c r="AL12" s="30"/>
      <c r="AM12" s="34"/>
      <c r="AN12" s="437"/>
      <c r="AO12" s="30">
        <v>626.279</v>
      </c>
      <c r="AP12" s="30"/>
      <c r="AQ12" s="30"/>
      <c r="AR12" s="30">
        <f>33+27+4+4+2+1</f>
        <v>71</v>
      </c>
      <c r="AS12" s="42">
        <v>2</v>
      </c>
      <c r="AT12" s="33"/>
      <c r="AU12" s="30"/>
      <c r="AV12" s="30"/>
      <c r="AW12" s="30"/>
      <c r="AX12" s="30"/>
      <c r="AY12" s="42"/>
      <c r="AZ12" s="33"/>
      <c r="BA12" s="30"/>
      <c r="BB12" s="30">
        <v>575.86199999999997</v>
      </c>
      <c r="BC12" s="30"/>
      <c r="BD12" s="30">
        <f>13+6+8+5+1</f>
        <v>33</v>
      </c>
      <c r="BE12" s="42">
        <v>3</v>
      </c>
      <c r="BF12" s="33"/>
      <c r="BG12" s="30"/>
      <c r="BH12" s="30"/>
      <c r="BI12" s="30">
        <v>9.875</v>
      </c>
      <c r="BJ12" s="30">
        <v>1</v>
      </c>
      <c r="BK12" s="42">
        <v>4</v>
      </c>
      <c r="BL12" s="33"/>
      <c r="BM12" s="30"/>
      <c r="BN12" s="30"/>
      <c r="BO12" s="30"/>
      <c r="BP12" s="30"/>
      <c r="BQ12" s="42"/>
      <c r="BR12" s="33"/>
      <c r="BS12" s="30">
        <v>911.298</v>
      </c>
      <c r="BT12" s="30"/>
      <c r="BU12" s="30"/>
      <c r="BV12" s="30">
        <f>66+28+9+4+2+1+1+1</f>
        <v>112</v>
      </c>
      <c r="BW12" s="42">
        <v>1</v>
      </c>
      <c r="BX12" s="33"/>
      <c r="BY12" s="30"/>
      <c r="BZ12" s="30">
        <v>232.26900000000001</v>
      </c>
      <c r="CA12" s="30"/>
      <c r="CB12" s="30">
        <f>11+2+16+1+1</f>
        <v>31</v>
      </c>
      <c r="CC12" s="42" t="s">
        <v>216</v>
      </c>
      <c r="CD12" s="33">
        <f t="shared" si="0"/>
        <v>2862.1</v>
      </c>
      <c r="CE12" s="30">
        <f t="shared" si="1"/>
        <v>1537.577</v>
      </c>
      <c r="CF12" s="34">
        <f t="shared" si="2"/>
        <v>2733.933</v>
      </c>
      <c r="CG12" s="426">
        <f>+D12+F12+J12+L12+P12+R12+V12+X12+AB12+AD12+AH12+AJ12+AN12+AP12+AT12+AV12+AZ12+BB12+BF12+BH12+BR12+BT12+BN12+BL12+E12+K12+Q12+W12+AC12+AI12+AO12+AU12+BA12+BG12+BM12+BS12+G12+M12+S12+Y12+AE12+AK12+AQ12+AW12+BC12+BI12+BO12+BU12+BX12+BY12+BZ12+CA12</f>
        <v>7143.4849999999997</v>
      </c>
      <c r="CH12" s="21">
        <f>+Cierre!H7</f>
        <v>7143.48</v>
      </c>
      <c r="CI12" s="17">
        <f t="shared" si="4"/>
        <v>734</v>
      </c>
      <c r="CJ12" s="22">
        <f>+Cierre!I7</f>
        <v>734</v>
      </c>
    </row>
    <row r="13" spans="2:90" ht="13" x14ac:dyDescent="0.15">
      <c r="B13" s="63">
        <v>6</v>
      </c>
      <c r="C13" s="433" t="str">
        <f>+Bioacem!C12</f>
        <v>V</v>
      </c>
      <c r="D13" s="291"/>
      <c r="E13" s="489">
        <v>977.56</v>
      </c>
      <c r="F13" s="489"/>
      <c r="G13" s="489"/>
      <c r="H13" s="30">
        <f>201+6+6+2+2+1+1</f>
        <v>219</v>
      </c>
      <c r="I13" s="34">
        <v>2</v>
      </c>
      <c r="J13" s="437"/>
      <c r="K13" s="30"/>
      <c r="L13" s="30">
        <v>610.17600000000004</v>
      </c>
      <c r="M13" s="30"/>
      <c r="N13" s="30">
        <f>45+44+2+4+1</f>
        <v>96</v>
      </c>
      <c r="O13" s="42" t="s">
        <v>216</v>
      </c>
      <c r="P13" s="33"/>
      <c r="Q13" s="30"/>
      <c r="R13" s="30">
        <v>464.238</v>
      </c>
      <c r="S13" s="30"/>
      <c r="T13" s="30">
        <f>38+18+3+1+1</f>
        <v>61</v>
      </c>
      <c r="U13" s="42">
        <v>1</v>
      </c>
      <c r="V13" s="33">
        <v>1087.67</v>
      </c>
      <c r="W13" s="30"/>
      <c r="X13" s="30"/>
      <c r="Y13" s="30"/>
      <c r="Z13" s="30">
        <f>1+124+83+4+6+3+2+2</f>
        <v>225</v>
      </c>
      <c r="AA13" s="42">
        <v>2</v>
      </c>
      <c r="AB13" s="33"/>
      <c r="AC13" s="30">
        <v>1031.6400000000001</v>
      </c>
      <c r="AD13" s="30"/>
      <c r="AE13" s="30"/>
      <c r="AF13" s="30">
        <f>92+76+18+4+3+1+1</f>
        <v>195</v>
      </c>
      <c r="AG13" s="42">
        <v>3</v>
      </c>
      <c r="AH13" s="33">
        <v>1239.403</v>
      </c>
      <c r="AI13" s="30"/>
      <c r="AJ13" s="30"/>
      <c r="AK13" s="30"/>
      <c r="AL13" s="30">
        <f>130+78+8+5+4+3+3+1</f>
        <v>232</v>
      </c>
      <c r="AM13" s="34">
        <v>1</v>
      </c>
      <c r="AN13" s="437"/>
      <c r="AO13" s="30"/>
      <c r="AP13" s="30"/>
      <c r="AQ13" s="30"/>
      <c r="AR13" s="30"/>
      <c r="AS13" s="42"/>
      <c r="AT13" s="33"/>
      <c r="AU13" s="30"/>
      <c r="AV13" s="30"/>
      <c r="AW13" s="30"/>
      <c r="AX13" s="30"/>
      <c r="AY13" s="42"/>
      <c r="AZ13" s="33"/>
      <c r="BA13" s="30"/>
      <c r="BB13" s="30"/>
      <c r="BC13" s="30">
        <v>111.634</v>
      </c>
      <c r="BD13" s="30">
        <f>14+8+1+1</f>
        <v>24</v>
      </c>
      <c r="BE13" s="42">
        <v>4</v>
      </c>
      <c r="BF13" s="33"/>
      <c r="BG13" s="30"/>
      <c r="BH13" s="30"/>
      <c r="BI13" s="30"/>
      <c r="BJ13" s="30"/>
      <c r="BK13" s="42"/>
      <c r="BL13" s="33"/>
      <c r="BM13" s="30"/>
      <c r="BN13" s="30"/>
      <c r="BO13" s="30">
        <v>1020.487</v>
      </c>
      <c r="BP13" s="30">
        <f>51+38+7+9+6+1</f>
        <v>112</v>
      </c>
      <c r="BQ13" s="42">
        <v>4</v>
      </c>
      <c r="BR13" s="33">
        <v>1441.223</v>
      </c>
      <c r="BS13" s="30"/>
      <c r="BT13" s="30"/>
      <c r="BU13" s="30"/>
      <c r="BV13" s="30">
        <f>55+45+25+10+5+2</f>
        <v>142</v>
      </c>
      <c r="BW13" s="42">
        <v>3</v>
      </c>
      <c r="BX13" s="33"/>
      <c r="BY13" s="30"/>
      <c r="BZ13" s="30">
        <v>637.86699999999996</v>
      </c>
      <c r="CA13" s="30"/>
      <c r="CB13" s="30">
        <f>74+44+2+2+1+2+5+1</f>
        <v>131</v>
      </c>
      <c r="CC13" s="42">
        <v>1</v>
      </c>
      <c r="CD13" s="33">
        <f t="shared" si="0"/>
        <v>3768.2960000000003</v>
      </c>
      <c r="CE13" s="30">
        <f t="shared" si="1"/>
        <v>2009.2</v>
      </c>
      <c r="CF13" s="34">
        <f t="shared" si="2"/>
        <v>1712.2809999999999</v>
      </c>
      <c r="CG13" s="426">
        <f t="shared" si="3"/>
        <v>8621.898000000001</v>
      </c>
      <c r="CH13" s="21">
        <f>+Cierre!H8</f>
        <v>8621.93</v>
      </c>
      <c r="CI13" s="17">
        <f t="shared" si="4"/>
        <v>1437</v>
      </c>
      <c r="CJ13" s="22">
        <f>+Cierre!I8</f>
        <v>1437</v>
      </c>
    </row>
    <row r="14" spans="2:90" ht="13" x14ac:dyDescent="0.15">
      <c r="B14" s="63">
        <v>7</v>
      </c>
      <c r="C14" s="433" t="str">
        <f>+Bioacem!C13</f>
        <v>S</v>
      </c>
      <c r="D14" s="291">
        <v>564.57600000000002</v>
      </c>
      <c r="E14" s="489"/>
      <c r="F14" s="489"/>
      <c r="G14" s="489"/>
      <c r="H14" s="30">
        <f>27+19+1+1+1</f>
        <v>49</v>
      </c>
      <c r="I14" s="34">
        <v>3</v>
      </c>
      <c r="J14" s="437"/>
      <c r="K14" s="30"/>
      <c r="L14" s="30">
        <v>1237.08</v>
      </c>
      <c r="M14" s="30"/>
      <c r="N14" s="30">
        <f>83+54+1+2+1+3+1</f>
        <v>145</v>
      </c>
      <c r="O14" s="42" t="s">
        <v>216</v>
      </c>
      <c r="P14" s="33"/>
      <c r="Q14" s="30">
        <v>915.19399999999996</v>
      </c>
      <c r="R14" s="30"/>
      <c r="S14" s="30"/>
      <c r="T14" s="30">
        <f>75+94+9+1+1</f>
        <v>180</v>
      </c>
      <c r="U14" s="42">
        <v>2</v>
      </c>
      <c r="V14" s="33"/>
      <c r="W14" s="30">
        <v>763.46100000000001</v>
      </c>
      <c r="X14" s="30"/>
      <c r="Y14" s="30"/>
      <c r="Z14" s="30">
        <f>36+27+1+3+1+5+1</f>
        <v>74</v>
      </c>
      <c r="AA14" s="42">
        <v>3</v>
      </c>
      <c r="AB14" s="33">
        <v>1376.027</v>
      </c>
      <c r="AC14" s="30"/>
      <c r="AD14" s="30"/>
      <c r="AE14" s="30"/>
      <c r="AF14" s="30">
        <f>149+122+3+3+2+1+1</f>
        <v>281</v>
      </c>
      <c r="AG14" s="42">
        <v>2</v>
      </c>
      <c r="AH14" s="33"/>
      <c r="AI14" s="30">
        <v>925.24199999999996</v>
      </c>
      <c r="AJ14" s="30"/>
      <c r="AK14" s="30"/>
      <c r="AL14" s="30">
        <f>92+80+3+1+1+1</f>
        <v>178</v>
      </c>
      <c r="AM14" s="34">
        <v>1</v>
      </c>
      <c r="AN14" s="437"/>
      <c r="AO14" s="30"/>
      <c r="AP14" s="30"/>
      <c r="AQ14" s="30"/>
      <c r="AR14" s="30"/>
      <c r="AS14" s="42"/>
      <c r="AT14" s="33"/>
      <c r="AU14" s="30">
        <v>653.42700000000002</v>
      </c>
      <c r="AV14" s="30"/>
      <c r="AW14" s="30"/>
      <c r="AX14" s="30">
        <f>26+23+1+9</f>
        <v>59</v>
      </c>
      <c r="AY14" s="42">
        <v>3</v>
      </c>
      <c r="AZ14" s="33">
        <v>1405.595</v>
      </c>
      <c r="BA14" s="30"/>
      <c r="BB14" s="30"/>
      <c r="BC14" s="30"/>
      <c r="BD14" s="30">
        <f>131+124+2+2+2+1</f>
        <v>262</v>
      </c>
      <c r="BE14" s="42">
        <v>1</v>
      </c>
      <c r="BF14" s="33"/>
      <c r="BG14" s="30"/>
      <c r="BH14" s="30"/>
      <c r="BI14" s="30">
        <v>143.70500000000001</v>
      </c>
      <c r="BJ14" s="30">
        <f>12+6+2</f>
        <v>20</v>
      </c>
      <c r="BK14" s="42">
        <v>4</v>
      </c>
      <c r="BL14" s="33"/>
      <c r="BM14" s="30"/>
      <c r="BN14" s="30">
        <v>262.274</v>
      </c>
      <c r="BO14" s="30"/>
      <c r="BP14" s="30">
        <f>28+16+7</f>
        <v>51</v>
      </c>
      <c r="BQ14" s="42">
        <v>1</v>
      </c>
      <c r="BR14" s="33">
        <v>916.82299999999998</v>
      </c>
      <c r="BS14" s="30"/>
      <c r="BT14" s="30"/>
      <c r="BU14" s="30"/>
      <c r="BV14" s="30">
        <f>34+38+7+4+3+3+1</f>
        <v>90</v>
      </c>
      <c r="BW14" s="42">
        <v>3</v>
      </c>
      <c r="BX14" s="33"/>
      <c r="BY14" s="30"/>
      <c r="BZ14" s="30">
        <v>519.84199999999998</v>
      </c>
      <c r="CA14" s="30"/>
      <c r="CB14" s="30">
        <f>50+27+3+2+1+1</f>
        <v>84</v>
      </c>
      <c r="CC14" s="42">
        <v>1</v>
      </c>
      <c r="CD14" s="33">
        <f t="shared" si="0"/>
        <v>4263.0210000000006</v>
      </c>
      <c r="CE14" s="30">
        <f t="shared" si="1"/>
        <v>3257.3240000000001</v>
      </c>
      <c r="CF14" s="34">
        <f t="shared" si="2"/>
        <v>2019.1959999999999</v>
      </c>
      <c r="CG14" s="426">
        <f t="shared" si="3"/>
        <v>9683.246000000001</v>
      </c>
      <c r="CH14" s="21">
        <f>+Cierre!H9</f>
        <v>9683.2999999999993</v>
      </c>
      <c r="CI14" s="17">
        <f t="shared" si="4"/>
        <v>1473</v>
      </c>
      <c r="CJ14" s="22">
        <f>+Cierre!I9</f>
        <v>1473</v>
      </c>
    </row>
    <row r="15" spans="2:90" ht="13" x14ac:dyDescent="0.15">
      <c r="B15" s="63">
        <v>8</v>
      </c>
      <c r="C15" s="433" t="str">
        <f>+Bioacem!C14</f>
        <v>D</v>
      </c>
      <c r="D15" s="291">
        <v>1026.799</v>
      </c>
      <c r="E15" s="489"/>
      <c r="F15" s="489"/>
      <c r="G15" s="489"/>
      <c r="H15" s="30">
        <f>195+33+2</f>
        <v>230</v>
      </c>
      <c r="I15" s="34">
        <v>1</v>
      </c>
      <c r="J15" s="437"/>
      <c r="K15" s="30"/>
      <c r="L15" s="30">
        <v>335.18299999999999</v>
      </c>
      <c r="M15" s="30"/>
      <c r="N15" s="30">
        <f>24+6+1+1+1</f>
        <v>33</v>
      </c>
      <c r="O15" s="42" t="s">
        <v>216</v>
      </c>
      <c r="P15" s="33"/>
      <c r="Q15" s="30">
        <v>742.279</v>
      </c>
      <c r="R15" s="30"/>
      <c r="S15" s="30"/>
      <c r="T15" s="30">
        <f>91+58+4</f>
        <v>153</v>
      </c>
      <c r="U15" s="42">
        <v>1</v>
      </c>
      <c r="V15" s="33"/>
      <c r="W15" s="30">
        <v>893.774</v>
      </c>
      <c r="X15" s="30"/>
      <c r="Y15" s="30"/>
      <c r="Z15" s="30">
        <f>104+93+3+3+1</f>
        <v>204</v>
      </c>
      <c r="AA15" s="42">
        <v>2</v>
      </c>
      <c r="AB15" s="33"/>
      <c r="AC15" s="30"/>
      <c r="AD15" s="30"/>
      <c r="AE15" s="30"/>
      <c r="AF15" s="30"/>
      <c r="AG15" s="42"/>
      <c r="AH15" s="33">
        <v>1222.77</v>
      </c>
      <c r="AI15" s="30"/>
      <c r="AJ15" s="30"/>
      <c r="AK15" s="30"/>
      <c r="AL15" s="30">
        <f>124+98+11+4+1+1</f>
        <v>239</v>
      </c>
      <c r="AM15" s="34">
        <v>2</v>
      </c>
      <c r="AN15" s="437"/>
      <c r="AO15" s="30"/>
      <c r="AP15" s="30"/>
      <c r="AQ15" s="30"/>
      <c r="AR15" s="30"/>
      <c r="AS15" s="42"/>
      <c r="AT15" s="33"/>
      <c r="AU15" s="30">
        <v>321.26799999999997</v>
      </c>
      <c r="AV15" s="30"/>
      <c r="AW15" s="30"/>
      <c r="AX15" s="30">
        <f>29+20+2+1+1</f>
        <v>53</v>
      </c>
      <c r="AY15" s="42">
        <v>3</v>
      </c>
      <c r="AZ15" s="33"/>
      <c r="BA15" s="30"/>
      <c r="BB15" s="30"/>
      <c r="BC15" s="30"/>
      <c r="BD15" s="30"/>
      <c r="BE15" s="42"/>
      <c r="BF15" s="33"/>
      <c r="BG15" s="30"/>
      <c r="BH15" s="30"/>
      <c r="BI15" s="30"/>
      <c r="BJ15" s="30"/>
      <c r="BK15" s="42"/>
      <c r="BL15" s="33"/>
      <c r="BM15" s="30"/>
      <c r="BN15" s="30">
        <v>541.09400000000005</v>
      </c>
      <c r="BO15" s="30"/>
      <c r="BP15" s="30">
        <f>61+42+1+1</f>
        <v>105</v>
      </c>
      <c r="BQ15" s="42">
        <v>1</v>
      </c>
      <c r="BR15" s="33"/>
      <c r="BS15" s="30"/>
      <c r="BT15" s="30">
        <v>469.01400000000001</v>
      </c>
      <c r="BU15" s="30"/>
      <c r="BV15" s="30">
        <f>26+22+2+1+3</f>
        <v>54</v>
      </c>
      <c r="BW15" s="42" t="s">
        <v>216</v>
      </c>
      <c r="BX15" s="33">
        <v>1057.452</v>
      </c>
      <c r="BY15" s="30"/>
      <c r="BZ15" s="30"/>
      <c r="CA15" s="30"/>
      <c r="CB15" s="30">
        <f>89+80+3+1+1+3</f>
        <v>177</v>
      </c>
      <c r="CC15" s="42">
        <v>3</v>
      </c>
      <c r="CD15" s="33">
        <f t="shared" si="0"/>
        <v>3307.0209999999997</v>
      </c>
      <c r="CE15" s="30">
        <f t="shared" si="1"/>
        <v>1957.3209999999999</v>
      </c>
      <c r="CF15" s="34">
        <f t="shared" si="2"/>
        <v>1345.2910000000002</v>
      </c>
      <c r="CG15" s="426">
        <f t="shared" si="3"/>
        <v>6609.6330000000007</v>
      </c>
      <c r="CH15" s="21">
        <f>+Cierre!H10</f>
        <v>6609.67</v>
      </c>
      <c r="CI15" s="17">
        <f t="shared" si="4"/>
        <v>1248</v>
      </c>
      <c r="CJ15" s="22">
        <f>+Cierre!I10</f>
        <v>1248</v>
      </c>
    </row>
    <row r="16" spans="2:90" ht="13" x14ac:dyDescent="0.15">
      <c r="B16" s="63">
        <v>9</v>
      </c>
      <c r="C16" s="433" t="str">
        <f>+Bioacem!C15</f>
        <v>L</v>
      </c>
      <c r="D16" s="291"/>
      <c r="E16" s="489"/>
      <c r="F16" s="489"/>
      <c r="G16" s="489"/>
      <c r="H16" s="30"/>
      <c r="I16" s="34"/>
      <c r="J16" s="437"/>
      <c r="K16" s="30">
        <v>798.94799999999998</v>
      </c>
      <c r="L16" s="30"/>
      <c r="M16" s="30"/>
      <c r="N16" s="30">
        <f>88+63+6+1+2+6+4+3</f>
        <v>173</v>
      </c>
      <c r="O16" s="42">
        <v>2</v>
      </c>
      <c r="P16" s="33"/>
      <c r="Q16" s="30">
        <v>985.29100000000005</v>
      </c>
      <c r="R16" s="30"/>
      <c r="S16" s="30"/>
      <c r="T16" s="30">
        <f>50+39+3+7+4+2</f>
        <v>105</v>
      </c>
      <c r="U16" s="42">
        <v>3</v>
      </c>
      <c r="V16" s="33">
        <v>1617.6659999999999</v>
      </c>
      <c r="W16" s="30"/>
      <c r="X16" s="30"/>
      <c r="Y16" s="30"/>
      <c r="Z16" s="30">
        <f>49+42+25+6+6+1</f>
        <v>129</v>
      </c>
      <c r="AA16" s="42">
        <v>3</v>
      </c>
      <c r="AB16" s="33"/>
      <c r="AC16" s="30">
        <v>678.83299999999997</v>
      </c>
      <c r="AD16" s="30"/>
      <c r="AE16" s="30"/>
      <c r="AF16" s="30">
        <f>74+54+5+5+2+2</f>
        <v>142</v>
      </c>
      <c r="AG16" s="42">
        <v>2</v>
      </c>
      <c r="AH16" s="33">
        <v>1307.7909999999999</v>
      </c>
      <c r="AI16" s="30"/>
      <c r="AJ16" s="30"/>
      <c r="AK16" s="30"/>
      <c r="AL16" s="30">
        <f>151+79+7+5+3+3+2</f>
        <v>250</v>
      </c>
      <c r="AM16" s="34">
        <v>1</v>
      </c>
      <c r="AN16" s="437"/>
      <c r="AO16" s="30"/>
      <c r="AP16" s="30"/>
      <c r="AQ16" s="30"/>
      <c r="AR16" s="30"/>
      <c r="AS16" s="42"/>
      <c r="AT16" s="33"/>
      <c r="AU16" s="30"/>
      <c r="AV16" s="30">
        <v>363.17399999999998</v>
      </c>
      <c r="AW16" s="30"/>
      <c r="AX16" s="30">
        <f>30+18+2+1+1</f>
        <v>52</v>
      </c>
      <c r="AY16" s="42" t="s">
        <v>216</v>
      </c>
      <c r="AZ16" s="33">
        <v>1043.501</v>
      </c>
      <c r="BA16" s="30"/>
      <c r="BB16" s="30"/>
      <c r="BC16" s="30"/>
      <c r="BD16" s="30">
        <f>122+74+9+7+6+2</f>
        <v>220</v>
      </c>
      <c r="BE16" s="42">
        <v>2</v>
      </c>
      <c r="BF16" s="33"/>
      <c r="BG16" s="30"/>
      <c r="BH16" s="30"/>
      <c r="BI16" s="30">
        <v>241.035</v>
      </c>
      <c r="BJ16" s="30">
        <f>32+5+1+1+1</f>
        <v>40</v>
      </c>
      <c r="BK16" s="42">
        <v>4</v>
      </c>
      <c r="BL16" s="33"/>
      <c r="BM16" s="30"/>
      <c r="BN16" s="30">
        <v>538.68499999999995</v>
      </c>
      <c r="BO16" s="30"/>
      <c r="BP16" s="30">
        <f>45+23+2+1+1</f>
        <v>72</v>
      </c>
      <c r="BQ16" s="42">
        <v>1</v>
      </c>
      <c r="BR16" s="33"/>
      <c r="BS16" s="30"/>
      <c r="BT16" s="30">
        <v>846.03599999999994</v>
      </c>
      <c r="BU16" s="30"/>
      <c r="BV16" s="30">
        <f>60+45+4+4+4+1+4</f>
        <v>122</v>
      </c>
      <c r="BW16" s="42">
        <v>1</v>
      </c>
      <c r="BX16" s="33"/>
      <c r="BY16" s="30"/>
      <c r="BZ16" s="30"/>
      <c r="CA16" s="30"/>
      <c r="CB16" s="30"/>
      <c r="CC16" s="42"/>
      <c r="CD16" s="33">
        <f t="shared" si="0"/>
        <v>3968.9579999999996</v>
      </c>
      <c r="CE16" s="30">
        <f t="shared" si="1"/>
        <v>2463.0720000000001</v>
      </c>
      <c r="CF16" s="34">
        <f t="shared" si="2"/>
        <v>1747.895</v>
      </c>
      <c r="CG16" s="426">
        <f t="shared" si="3"/>
        <v>8420.9599999999991</v>
      </c>
      <c r="CH16" s="21">
        <f>+Cierre!H11</f>
        <v>8421</v>
      </c>
      <c r="CI16" s="17">
        <f t="shared" si="4"/>
        <v>1305</v>
      </c>
      <c r="CJ16" s="22">
        <f>+Cierre!I11</f>
        <v>1305</v>
      </c>
    </row>
    <row r="17" spans="2:91" ht="13" x14ac:dyDescent="0.15">
      <c r="B17" s="63">
        <v>10</v>
      </c>
      <c r="C17" s="433" t="str">
        <f>+Bioacem!C16</f>
        <v>M</v>
      </c>
      <c r="D17" s="291">
        <v>1327.7819999999999</v>
      </c>
      <c r="E17" s="489"/>
      <c r="F17" s="489"/>
      <c r="G17" s="489"/>
      <c r="H17" s="30">
        <f>43+31+21+5+5+1+1+1+1</f>
        <v>109</v>
      </c>
      <c r="I17" s="34">
        <v>3</v>
      </c>
      <c r="J17" s="437"/>
      <c r="K17" s="30"/>
      <c r="L17" s="30"/>
      <c r="M17" s="30"/>
      <c r="N17" s="30"/>
      <c r="O17" s="42"/>
      <c r="P17" s="33">
        <v>1331.2719999999999</v>
      </c>
      <c r="Q17" s="30"/>
      <c r="R17" s="30"/>
      <c r="S17" s="30"/>
      <c r="T17" s="30">
        <f>143+93+8+6+5+3+2+2</f>
        <v>262</v>
      </c>
      <c r="U17" s="42">
        <v>2</v>
      </c>
      <c r="V17" s="33">
        <v>1264.846</v>
      </c>
      <c r="W17" s="30"/>
      <c r="X17" s="30"/>
      <c r="Y17" s="30"/>
      <c r="Z17" s="30">
        <f>125+85+10+8+2+1+1+1</f>
        <v>233</v>
      </c>
      <c r="AA17" s="42">
        <v>1</v>
      </c>
      <c r="AB17" s="33"/>
      <c r="AC17" s="30">
        <v>795.125</v>
      </c>
      <c r="AD17" s="30"/>
      <c r="AE17" s="30"/>
      <c r="AF17" s="30">
        <f>87+62+5+4+3+2+2</f>
        <v>165</v>
      </c>
      <c r="AG17" s="42">
        <v>2</v>
      </c>
      <c r="AH17" s="33"/>
      <c r="AI17" s="30"/>
      <c r="AJ17" s="30">
        <v>358.60300000000001</v>
      </c>
      <c r="AK17" s="30"/>
      <c r="AL17" s="30">
        <f>18+24+3+2+1+1</f>
        <v>49</v>
      </c>
      <c r="AM17" s="34" t="s">
        <v>216</v>
      </c>
      <c r="AN17" s="437"/>
      <c r="AO17" s="30"/>
      <c r="AP17" s="30"/>
      <c r="AQ17" s="30"/>
      <c r="AR17" s="30"/>
      <c r="AS17" s="42"/>
      <c r="AT17" s="33"/>
      <c r="AU17" s="30"/>
      <c r="AV17" s="30">
        <v>906.01199999999994</v>
      </c>
      <c r="AW17" s="30"/>
      <c r="AX17" s="30">
        <f>46+79+2+2+4</f>
        <v>133</v>
      </c>
      <c r="AY17" s="42">
        <v>1</v>
      </c>
      <c r="AZ17" s="33"/>
      <c r="BA17" s="30"/>
      <c r="BB17" s="30"/>
      <c r="BC17" s="30">
        <v>85.634</v>
      </c>
      <c r="BD17" s="30">
        <f>9+10+2</f>
        <v>21</v>
      </c>
      <c r="BE17" s="42">
        <v>4</v>
      </c>
      <c r="BF17" s="33"/>
      <c r="BG17" s="30"/>
      <c r="BH17" s="30"/>
      <c r="BI17" s="30"/>
      <c r="BJ17" s="30"/>
      <c r="BK17" s="42"/>
      <c r="BL17" s="33"/>
      <c r="BM17" s="30">
        <v>1177.29</v>
      </c>
      <c r="BN17" s="30"/>
      <c r="BO17" s="30"/>
      <c r="BP17" s="30">
        <f>42+26+7+13+2+2+1</f>
        <v>93</v>
      </c>
      <c r="BQ17" s="42">
        <v>3</v>
      </c>
      <c r="BR17" s="33"/>
      <c r="BS17" s="30"/>
      <c r="BT17" s="30">
        <v>568.23400000000004</v>
      </c>
      <c r="BU17" s="30"/>
      <c r="BV17" s="30">
        <f>44+21+3+3+1+1</f>
        <v>73</v>
      </c>
      <c r="BW17" s="42">
        <v>1</v>
      </c>
      <c r="BX17" s="33"/>
      <c r="BY17" s="30">
        <v>913.56299999999999</v>
      </c>
      <c r="BZ17" s="30"/>
      <c r="CA17" s="30"/>
      <c r="CB17" s="30">
        <f>79+75+4+3+3+3+1+1</f>
        <v>169</v>
      </c>
      <c r="CC17" s="42">
        <v>1</v>
      </c>
      <c r="CD17" s="33">
        <f t="shared" si="0"/>
        <v>3923.8999999999996</v>
      </c>
      <c r="CE17" s="30">
        <f t="shared" si="1"/>
        <v>2885.9780000000001</v>
      </c>
      <c r="CF17" s="34">
        <f t="shared" si="2"/>
        <v>1832.8490000000002</v>
      </c>
      <c r="CG17" s="426">
        <f>+D17+F17+J17+L17+P17+R17+V17+X17+AB17+AD17+AH17+AJ17+AN17+AP17+AT17+AV17+AZ17+BB17+BF17+BH17+BR17+BT17+BN17+BL17+E17+K17+Q17+W17+AC17+AI17+AO17+AU17+BA17+BG17+BM17+BS17+G17+M17+S17+Y17+AE17+AK17+AQ17+AW17+BC17+BI17+BO17+BU17+BX17+BY17+BZ17+CA17</f>
        <v>8728.360999999999</v>
      </c>
      <c r="CH17" s="21">
        <f>+Cierre!H12</f>
        <v>8728.41</v>
      </c>
      <c r="CI17" s="17">
        <f t="shared" si="4"/>
        <v>1307</v>
      </c>
      <c r="CJ17" s="22">
        <f>+Cierre!I12</f>
        <v>1307</v>
      </c>
    </row>
    <row r="18" spans="2:91" ht="13" x14ac:dyDescent="0.15">
      <c r="B18" s="63">
        <v>11</v>
      </c>
      <c r="C18" s="433" t="str">
        <f>+Bioacem!C17</f>
        <v>M</v>
      </c>
      <c r="D18" s="291">
        <v>1107.1969999999999</v>
      </c>
      <c r="E18" s="489"/>
      <c r="F18" s="489"/>
      <c r="G18" s="489"/>
      <c r="H18" s="30">
        <f>160+48+3+3+2+1</f>
        <v>217</v>
      </c>
      <c r="I18" s="34">
        <v>1</v>
      </c>
      <c r="J18" s="437"/>
      <c r="K18" s="30"/>
      <c r="L18" s="30"/>
      <c r="M18" s="30">
        <v>210.392</v>
      </c>
      <c r="N18" s="30">
        <f>25+19+2+1</f>
        <v>47</v>
      </c>
      <c r="O18" s="42">
        <v>4</v>
      </c>
      <c r="P18" s="33">
        <v>673.07399999999996</v>
      </c>
      <c r="Q18" s="30"/>
      <c r="R18" s="30"/>
      <c r="S18" s="30"/>
      <c r="T18" s="30">
        <f>48+19+11+5+3+2+1</f>
        <v>89</v>
      </c>
      <c r="U18" s="42">
        <v>3</v>
      </c>
      <c r="V18" s="33">
        <v>1227.6980000000001</v>
      </c>
      <c r="W18" s="30"/>
      <c r="X18" s="30"/>
      <c r="Y18" s="30"/>
      <c r="Z18" s="30">
        <f>137+82+3+5+4+2+2+1</f>
        <v>236</v>
      </c>
      <c r="AA18" s="42">
        <v>2</v>
      </c>
      <c r="AB18" s="33"/>
      <c r="AC18" s="30"/>
      <c r="AD18" s="30">
        <v>175.494</v>
      </c>
      <c r="AE18" s="30"/>
      <c r="AF18" s="30">
        <f>20+17+1</f>
        <v>38</v>
      </c>
      <c r="AG18" s="42" t="s">
        <v>216</v>
      </c>
      <c r="AH18" s="33"/>
      <c r="AI18" s="30"/>
      <c r="AJ18" s="30">
        <v>810.51499999999999</v>
      </c>
      <c r="AK18" s="30"/>
      <c r="AL18" s="30">
        <f>47+82+4+3+1+3+1</f>
        <v>141</v>
      </c>
      <c r="AM18" s="34" t="s">
        <v>216</v>
      </c>
      <c r="AN18" s="437"/>
      <c r="AO18" s="30">
        <v>1039.2070000000001</v>
      </c>
      <c r="AP18" s="30"/>
      <c r="AQ18" s="30"/>
      <c r="AR18" s="30">
        <f>34+30+1+11+2+1</f>
        <v>79</v>
      </c>
      <c r="AS18" s="42">
        <v>3</v>
      </c>
      <c r="AT18" s="33">
        <v>727.73900000000003</v>
      </c>
      <c r="AU18" s="30"/>
      <c r="AV18" s="30"/>
      <c r="AW18" s="30"/>
      <c r="AX18" s="30">
        <f>53+17+5+2+2</f>
        <v>79</v>
      </c>
      <c r="AY18" s="42">
        <v>3</v>
      </c>
      <c r="AZ18" s="33"/>
      <c r="BA18" s="30"/>
      <c r="BB18" s="30"/>
      <c r="BC18" s="30">
        <v>240.15700000000001</v>
      </c>
      <c r="BD18" s="30">
        <f>10+3+3+1</f>
        <v>17</v>
      </c>
      <c r="BE18" s="42">
        <v>4</v>
      </c>
      <c r="BF18" s="33"/>
      <c r="BG18" s="30"/>
      <c r="BH18" s="30"/>
      <c r="BI18" s="30"/>
      <c r="BJ18" s="30"/>
      <c r="BK18" s="42"/>
      <c r="BL18" s="33">
        <v>557.80700000000002</v>
      </c>
      <c r="BM18" s="30"/>
      <c r="BN18" s="30"/>
      <c r="BO18" s="30"/>
      <c r="BP18" s="30">
        <f>18+9+7+5+3</f>
        <v>42</v>
      </c>
      <c r="BQ18" s="42">
        <v>3</v>
      </c>
      <c r="BR18" s="33"/>
      <c r="BS18" s="30">
        <v>1029.7529999999999</v>
      </c>
      <c r="BT18" s="30"/>
      <c r="BU18" s="30"/>
      <c r="BV18" s="30">
        <f>98+75+5+5+2+3+1+2</f>
        <v>191</v>
      </c>
      <c r="BW18" s="42">
        <v>1</v>
      </c>
      <c r="BX18" s="33"/>
      <c r="BY18" s="30">
        <v>755.18</v>
      </c>
      <c r="BZ18" s="30"/>
      <c r="CA18" s="30"/>
      <c r="CB18" s="30">
        <f>76+58+8+5+3+4+3</f>
        <v>157</v>
      </c>
      <c r="CC18" s="42">
        <v>2</v>
      </c>
      <c r="CD18" s="33">
        <f t="shared" si="0"/>
        <v>4293.5150000000003</v>
      </c>
      <c r="CE18" s="30">
        <f t="shared" si="1"/>
        <v>2824.14</v>
      </c>
      <c r="CF18" s="34">
        <f t="shared" si="2"/>
        <v>986.00900000000001</v>
      </c>
      <c r="CG18" s="426">
        <f t="shared" si="3"/>
        <v>8554.2129999999997</v>
      </c>
      <c r="CH18" s="21">
        <f>+Cierre!H13</f>
        <v>8554.25</v>
      </c>
      <c r="CI18" s="17">
        <f t="shared" si="4"/>
        <v>1333</v>
      </c>
      <c r="CJ18" s="22">
        <f>+Cierre!I13</f>
        <v>1333</v>
      </c>
    </row>
    <row r="19" spans="2:91" ht="13" x14ac:dyDescent="0.15">
      <c r="B19" s="63">
        <v>12</v>
      </c>
      <c r="C19" s="433" t="str">
        <f>+Bioacem!C18</f>
        <v>J</v>
      </c>
      <c r="D19" s="291">
        <v>600.88</v>
      </c>
      <c r="E19" s="489"/>
      <c r="F19" s="489"/>
      <c r="G19" s="489"/>
      <c r="H19" s="30">
        <f>29+16+4+2+1+1</f>
        <v>53</v>
      </c>
      <c r="I19" s="34">
        <v>3</v>
      </c>
      <c r="J19" s="437">
        <v>604.44200000000001</v>
      </c>
      <c r="K19" s="30"/>
      <c r="L19" s="30"/>
      <c r="M19" s="30"/>
      <c r="N19" s="30">
        <f>60+55+5+3+3+1+1</f>
        <v>128</v>
      </c>
      <c r="O19" s="42">
        <v>2</v>
      </c>
      <c r="P19" s="33"/>
      <c r="Q19" s="30"/>
      <c r="R19" s="30"/>
      <c r="S19" s="30">
        <v>231.87100000000001</v>
      </c>
      <c r="T19" s="30">
        <f>21+16+2+2+1</f>
        <v>42</v>
      </c>
      <c r="U19" s="42">
        <v>4</v>
      </c>
      <c r="V19" s="33">
        <v>790.83399999999995</v>
      </c>
      <c r="W19" s="30"/>
      <c r="X19" s="30"/>
      <c r="Y19" s="30"/>
      <c r="Z19" s="30">
        <f>26+15+5+15+6+4+1</f>
        <v>72</v>
      </c>
      <c r="AA19" s="42">
        <v>3</v>
      </c>
      <c r="AB19" s="33"/>
      <c r="AC19" s="30"/>
      <c r="AD19" s="30">
        <v>869.17200000000003</v>
      </c>
      <c r="AE19" s="30"/>
      <c r="AF19" s="30">
        <f>70+42+4+2+1+4+7</f>
        <v>130</v>
      </c>
      <c r="AG19" s="42">
        <v>1</v>
      </c>
      <c r="AH19" s="33"/>
      <c r="AI19" s="30"/>
      <c r="AJ19" s="30">
        <v>832.63199999999995</v>
      </c>
      <c r="AK19" s="30"/>
      <c r="AL19" s="30">
        <f>86+38+3+3</f>
        <v>130</v>
      </c>
      <c r="AM19" s="34" t="s">
        <v>216</v>
      </c>
      <c r="AN19" s="437">
        <v>1203.309</v>
      </c>
      <c r="AO19" s="30"/>
      <c r="AP19" s="30"/>
      <c r="AQ19" s="30"/>
      <c r="AR19" s="30">
        <f>75+83+5+4+4+3+1</f>
        <v>175</v>
      </c>
      <c r="AS19" s="42">
        <v>2</v>
      </c>
      <c r="AT19" s="33"/>
      <c r="AU19" s="30">
        <v>916.88699999999994</v>
      </c>
      <c r="AV19" s="30"/>
      <c r="AW19" s="30"/>
      <c r="AX19" s="30">
        <f>105+59+6+3+2+1+1</f>
        <v>177</v>
      </c>
      <c r="AY19" s="42">
        <v>1</v>
      </c>
      <c r="AZ19" s="33"/>
      <c r="BA19" s="30"/>
      <c r="BB19" s="30"/>
      <c r="BC19" s="30"/>
      <c r="BD19" s="30"/>
      <c r="BE19" s="42"/>
      <c r="BF19" s="33"/>
      <c r="BG19" s="30"/>
      <c r="BH19" s="30"/>
      <c r="BI19" s="30">
        <v>12.824999999999999</v>
      </c>
      <c r="BJ19" s="30">
        <v>4</v>
      </c>
      <c r="BK19" s="42">
        <v>4</v>
      </c>
      <c r="BL19" s="33">
        <v>895.54399999999998</v>
      </c>
      <c r="BM19" s="30"/>
      <c r="BN19" s="30"/>
      <c r="BO19" s="30"/>
      <c r="BP19" s="30">
        <f>152+64+6+6+7+4+1</f>
        <v>240</v>
      </c>
      <c r="BQ19" s="42">
        <v>1</v>
      </c>
      <c r="BR19" s="33">
        <v>843.05399999999997</v>
      </c>
      <c r="BS19" s="30"/>
      <c r="BT19" s="30"/>
      <c r="BU19" s="30"/>
      <c r="BV19" s="30">
        <f>86+44+3+3+1+1</f>
        <v>138</v>
      </c>
      <c r="BW19" s="42">
        <v>2</v>
      </c>
      <c r="BX19" s="33"/>
      <c r="BY19" s="30">
        <v>873.18499999999995</v>
      </c>
      <c r="BZ19" s="30"/>
      <c r="CA19" s="30"/>
      <c r="CB19" s="30">
        <f>35+18+9+12</f>
        <v>74</v>
      </c>
      <c r="CC19" s="42">
        <v>3</v>
      </c>
      <c r="CD19" s="33">
        <f t="shared" si="0"/>
        <v>4938.0630000000001</v>
      </c>
      <c r="CE19" s="30">
        <f t="shared" si="1"/>
        <v>1790.0719999999999</v>
      </c>
      <c r="CF19" s="34">
        <f t="shared" si="2"/>
        <v>1701.8040000000001</v>
      </c>
      <c r="CG19" s="426">
        <f t="shared" si="3"/>
        <v>8674.6350000000002</v>
      </c>
      <c r="CH19" s="21">
        <f>+Cierre!H14</f>
        <v>8674.6500000000015</v>
      </c>
      <c r="CI19" s="17">
        <f t="shared" si="4"/>
        <v>1363</v>
      </c>
      <c r="CJ19" s="22">
        <f>+Cierre!I14</f>
        <v>1363</v>
      </c>
    </row>
    <row r="20" spans="2:91" ht="13" x14ac:dyDescent="0.15">
      <c r="B20" s="63">
        <v>13</v>
      </c>
      <c r="C20" s="433" t="str">
        <f>+Bioacem!C19</f>
        <v>V</v>
      </c>
      <c r="D20" s="291">
        <v>795.93899999999996</v>
      </c>
      <c r="E20" s="489"/>
      <c r="F20" s="489"/>
      <c r="G20" s="489"/>
      <c r="H20" s="30">
        <f>129+21+2+3+2+3</f>
        <v>160</v>
      </c>
      <c r="I20" s="34">
        <v>2</v>
      </c>
      <c r="J20" s="437"/>
      <c r="K20" s="30">
        <v>983.86099999999999</v>
      </c>
      <c r="L20" s="30"/>
      <c r="M20" s="30"/>
      <c r="N20" s="30">
        <f>97+75+5+5+2+1+1</f>
        <v>186</v>
      </c>
      <c r="O20" s="42">
        <v>1</v>
      </c>
      <c r="P20" s="33">
        <v>1130.9059999999999</v>
      </c>
      <c r="Q20" s="30"/>
      <c r="R20" s="30"/>
      <c r="S20" s="30"/>
      <c r="T20" s="30">
        <f>121+89+7+5+4+4</f>
        <v>230</v>
      </c>
      <c r="U20" s="42">
        <v>1</v>
      </c>
      <c r="V20" s="33"/>
      <c r="W20" s="30"/>
      <c r="X20" s="30">
        <v>523.36900000000003</v>
      </c>
      <c r="Y20" s="30"/>
      <c r="Z20" s="30">
        <f>36+26+1+1+1</f>
        <v>65</v>
      </c>
      <c r="AA20" s="42" t="s">
        <v>216</v>
      </c>
      <c r="AB20" s="33"/>
      <c r="AC20" s="30"/>
      <c r="AD20" s="30">
        <v>1035.3109999999999</v>
      </c>
      <c r="AE20" s="30"/>
      <c r="AF20" s="30">
        <f>88+57+1+5+1+1</f>
        <v>153</v>
      </c>
      <c r="AG20" s="42">
        <v>1</v>
      </c>
      <c r="AH20" s="33"/>
      <c r="AI20" s="30"/>
      <c r="AJ20" s="30">
        <v>550.58199999999999</v>
      </c>
      <c r="AK20" s="30"/>
      <c r="AL20" s="30">
        <f>42+4+13+6+2+1</f>
        <v>68</v>
      </c>
      <c r="AM20" s="34" t="s">
        <v>216</v>
      </c>
      <c r="AN20" s="437"/>
      <c r="AO20" s="30">
        <v>1177.0889999999999</v>
      </c>
      <c r="AP20" s="30"/>
      <c r="AQ20" s="30"/>
      <c r="AR20" s="30">
        <f>26+18+29+9+6</f>
        <v>88</v>
      </c>
      <c r="AS20" s="42">
        <v>3</v>
      </c>
      <c r="AT20" s="33"/>
      <c r="AU20" s="30"/>
      <c r="AV20" s="30"/>
      <c r="AW20" s="30">
        <v>157.86500000000001</v>
      </c>
      <c r="AX20" s="30">
        <f>15+11+1+4</f>
        <v>31</v>
      </c>
      <c r="AY20" s="42">
        <v>4</v>
      </c>
      <c r="AZ20" s="33"/>
      <c r="BA20" s="30"/>
      <c r="BB20" s="30"/>
      <c r="BC20" s="30"/>
      <c r="BD20" s="30"/>
      <c r="BE20" s="42"/>
      <c r="BF20" s="33"/>
      <c r="BG20" s="30"/>
      <c r="BH20" s="30"/>
      <c r="BI20" s="30">
        <v>42.252000000000002</v>
      </c>
      <c r="BJ20" s="30">
        <f>12+1</f>
        <v>13</v>
      </c>
      <c r="BK20" s="42">
        <v>4</v>
      </c>
      <c r="BL20" s="33"/>
      <c r="BM20" s="30"/>
      <c r="BN20" s="30"/>
      <c r="BO20" s="30">
        <v>7.4420000000000002</v>
      </c>
      <c r="BP20" s="30">
        <v>1</v>
      </c>
      <c r="BQ20" s="42">
        <v>4</v>
      </c>
      <c r="BR20" s="33"/>
      <c r="BS20" s="30"/>
      <c r="BT20" s="30"/>
      <c r="BU20" s="30">
        <v>1132.6079999999999</v>
      </c>
      <c r="BV20" s="30">
        <f>114+78+4+4+2+1+1</f>
        <v>204</v>
      </c>
      <c r="BW20" s="42">
        <v>4</v>
      </c>
      <c r="BX20" s="33">
        <v>1268.3</v>
      </c>
      <c r="BY20" s="30"/>
      <c r="BZ20" s="30"/>
      <c r="CA20" s="30"/>
      <c r="CB20" s="30">
        <f>61+34+5+13+6+4+2</f>
        <v>125</v>
      </c>
      <c r="CC20" s="42">
        <v>3</v>
      </c>
      <c r="CD20" s="33">
        <f t="shared" si="0"/>
        <v>3195.1449999999995</v>
      </c>
      <c r="CE20" s="30">
        <f t="shared" si="1"/>
        <v>2160.9499999999998</v>
      </c>
      <c r="CF20" s="34">
        <f t="shared" si="2"/>
        <v>2109.2620000000002</v>
      </c>
      <c r="CG20" s="426">
        <f t="shared" si="3"/>
        <v>8805.5239999999994</v>
      </c>
      <c r="CH20" s="21">
        <f>+Cierre!H15</f>
        <v>8805.5499999999993</v>
      </c>
      <c r="CI20" s="17">
        <f t="shared" si="4"/>
        <v>1324</v>
      </c>
      <c r="CJ20" s="22">
        <f>+Cierre!I15</f>
        <v>1324</v>
      </c>
    </row>
    <row r="21" spans="2:91" ht="13" x14ac:dyDescent="0.15">
      <c r="B21" s="63">
        <v>14</v>
      </c>
      <c r="C21" s="433" t="str">
        <f>+Bioacem!C20</f>
        <v>S</v>
      </c>
      <c r="D21" s="291"/>
      <c r="E21" s="489"/>
      <c r="F21" s="489">
        <v>267.24200000000002</v>
      </c>
      <c r="G21" s="489"/>
      <c r="H21" s="30">
        <f>51+13+1+1</f>
        <v>66</v>
      </c>
      <c r="I21" s="34" t="s">
        <v>216</v>
      </c>
      <c r="J21" s="437"/>
      <c r="K21" s="30">
        <v>1259.5999999999999</v>
      </c>
      <c r="L21" s="30"/>
      <c r="M21" s="30"/>
      <c r="N21" s="30">
        <f>58+41+1+13+2</f>
        <v>115</v>
      </c>
      <c r="O21" s="42">
        <v>3</v>
      </c>
      <c r="P21" s="33">
        <v>1362.848</v>
      </c>
      <c r="Q21" s="30"/>
      <c r="R21" s="30"/>
      <c r="S21" s="30"/>
      <c r="T21" s="30">
        <f>154+149+3+2+2+1+1+1</f>
        <v>313</v>
      </c>
      <c r="U21" s="42">
        <v>2</v>
      </c>
      <c r="V21" s="33"/>
      <c r="W21" s="30"/>
      <c r="X21" s="30">
        <v>984.65099999999995</v>
      </c>
      <c r="Y21" s="30"/>
      <c r="Z21" s="30">
        <f>63+84+3+2+5+2+1</f>
        <v>160</v>
      </c>
      <c r="AA21" s="42" t="s">
        <v>216</v>
      </c>
      <c r="AB21" s="33"/>
      <c r="AC21" s="30"/>
      <c r="AD21" s="30">
        <v>559.79300000000001</v>
      </c>
      <c r="AE21" s="30"/>
      <c r="AF21" s="30">
        <f>60+34+3+2</f>
        <v>99</v>
      </c>
      <c r="AG21" s="42">
        <v>1</v>
      </c>
      <c r="AH21" s="33"/>
      <c r="AI21" s="30"/>
      <c r="AJ21" s="30"/>
      <c r="AK21" s="30">
        <v>543.577</v>
      </c>
      <c r="AL21" s="30">
        <f>43+36+1+1+1</f>
        <v>82</v>
      </c>
      <c r="AM21" s="34">
        <v>4</v>
      </c>
      <c r="AN21" s="437">
        <v>1316.74</v>
      </c>
      <c r="AO21" s="30"/>
      <c r="AP21" s="30"/>
      <c r="AQ21" s="30"/>
      <c r="AR21" s="30">
        <f>137+111+5+2+2+2+1</f>
        <v>260</v>
      </c>
      <c r="AS21" s="42">
        <v>1</v>
      </c>
      <c r="AT21" s="33"/>
      <c r="AU21" s="30">
        <v>856.99599999999998</v>
      </c>
      <c r="AV21" s="30"/>
      <c r="AW21" s="30"/>
      <c r="AX21" s="30">
        <f>98+82+2+1+1+1</f>
        <v>185</v>
      </c>
      <c r="AY21" s="42">
        <v>2</v>
      </c>
      <c r="AZ21" s="33"/>
      <c r="BA21" s="30"/>
      <c r="BB21" s="30"/>
      <c r="BC21" s="30"/>
      <c r="BD21" s="30"/>
      <c r="BE21" s="42"/>
      <c r="BF21" s="33"/>
      <c r="BG21" s="30"/>
      <c r="BH21" s="30"/>
      <c r="BI21" s="30"/>
      <c r="BJ21" s="30"/>
      <c r="BK21" s="42"/>
      <c r="BL21" s="33">
        <v>926.029</v>
      </c>
      <c r="BM21" s="30"/>
      <c r="BN21" s="30"/>
      <c r="BO21" s="30"/>
      <c r="BP21" s="30">
        <f>35+48+9+2+1+1</f>
        <v>96</v>
      </c>
      <c r="BQ21" s="42">
        <v>3</v>
      </c>
      <c r="BR21" s="33"/>
      <c r="BS21" s="30">
        <v>1109.585</v>
      </c>
      <c r="BT21" s="30"/>
      <c r="BU21" s="30"/>
      <c r="BV21" s="30">
        <f>118+88+3+2+1</f>
        <v>212</v>
      </c>
      <c r="BW21" s="42">
        <v>1</v>
      </c>
      <c r="BX21" s="33"/>
      <c r="BY21" s="30"/>
      <c r="BZ21" s="30"/>
      <c r="CA21" s="30">
        <v>524.904</v>
      </c>
      <c r="CB21" s="30">
        <f>48+39+2+1+1</f>
        <v>91</v>
      </c>
      <c r="CC21" s="42">
        <v>4</v>
      </c>
      <c r="CD21" s="33">
        <f t="shared" si="0"/>
        <v>3605.6170000000002</v>
      </c>
      <c r="CE21" s="30">
        <f t="shared" si="1"/>
        <v>3226.181</v>
      </c>
      <c r="CF21" s="34">
        <f t="shared" si="2"/>
        <v>1811.6859999999999</v>
      </c>
      <c r="CG21" s="426">
        <f t="shared" si="3"/>
        <v>9711.9650000000001</v>
      </c>
      <c r="CH21" s="21">
        <f>+Cierre!H16</f>
        <v>9711.98</v>
      </c>
      <c r="CI21" s="17">
        <f t="shared" si="4"/>
        <v>1679</v>
      </c>
      <c r="CJ21" s="22">
        <f>+Cierre!I16</f>
        <v>1679</v>
      </c>
      <c r="CK21" s="4"/>
    </row>
    <row r="22" spans="2:91" ht="13" x14ac:dyDescent="0.15">
      <c r="B22" s="63">
        <v>15</v>
      </c>
      <c r="C22" s="433" t="str">
        <f>+Bioacem!C21</f>
        <v>D</v>
      </c>
      <c r="D22" s="291"/>
      <c r="E22" s="489"/>
      <c r="F22" s="489">
        <v>267.47800000000001</v>
      </c>
      <c r="G22" s="489"/>
      <c r="H22" s="30">
        <f>37+3+1+2</f>
        <v>43</v>
      </c>
      <c r="I22" s="34" t="s">
        <v>216</v>
      </c>
      <c r="J22" s="437">
        <v>1080.2090000000001</v>
      </c>
      <c r="K22" s="30"/>
      <c r="L22" s="30"/>
      <c r="M22" s="30"/>
      <c r="N22" s="30">
        <f>115+105+2</f>
        <v>222</v>
      </c>
      <c r="O22" s="42">
        <v>1</v>
      </c>
      <c r="P22" s="33"/>
      <c r="Q22" s="30"/>
      <c r="R22" s="30"/>
      <c r="S22" s="30"/>
      <c r="T22" s="30"/>
      <c r="U22" s="42"/>
      <c r="V22" s="33"/>
      <c r="W22" s="30"/>
      <c r="X22" s="30">
        <v>282.73</v>
      </c>
      <c r="Y22" s="30"/>
      <c r="Z22" s="30">
        <f>30+20+1</f>
        <v>51</v>
      </c>
      <c r="AA22" s="42">
        <v>1</v>
      </c>
      <c r="AB22" s="33"/>
      <c r="AC22" s="30">
        <v>953.10699999999997</v>
      </c>
      <c r="AD22" s="30"/>
      <c r="AE22" s="30"/>
      <c r="AF22" s="30">
        <f>83+70+2+7+1+1</f>
        <v>164</v>
      </c>
      <c r="AG22" s="42">
        <v>1</v>
      </c>
      <c r="AH22" s="33"/>
      <c r="AI22" s="30">
        <v>619.23099999999999</v>
      </c>
      <c r="AJ22" s="30"/>
      <c r="AK22" s="30"/>
      <c r="AL22" s="30">
        <f>72+50+3+1</f>
        <v>126</v>
      </c>
      <c r="AM22" s="34">
        <v>1</v>
      </c>
      <c r="AN22" s="437"/>
      <c r="AO22" s="30"/>
      <c r="AP22" s="30"/>
      <c r="AQ22" s="30"/>
      <c r="AR22" s="30"/>
      <c r="AS22" s="42"/>
      <c r="AT22" s="33">
        <v>882.49900000000002</v>
      </c>
      <c r="AU22" s="240"/>
      <c r="AV22" s="30"/>
      <c r="AW22" s="30"/>
      <c r="AX22" s="30">
        <f>83+66+2+4+3</f>
        <v>158</v>
      </c>
      <c r="AY22" s="42">
        <v>3</v>
      </c>
      <c r="AZ22" s="33"/>
      <c r="BA22" s="30"/>
      <c r="BB22" s="30">
        <v>296.02800000000002</v>
      </c>
      <c r="BC22" s="30"/>
      <c r="BD22" s="30">
        <f>32+13+1+1</f>
        <v>47</v>
      </c>
      <c r="BE22" s="42" t="s">
        <v>216</v>
      </c>
      <c r="BF22" s="33"/>
      <c r="BG22" s="30"/>
      <c r="BH22" s="30"/>
      <c r="BI22" s="30"/>
      <c r="BJ22" s="30"/>
      <c r="BK22" s="42"/>
      <c r="BL22" s="33"/>
      <c r="BM22" s="30">
        <v>525.72199999999998</v>
      </c>
      <c r="BN22" s="30"/>
      <c r="BO22" s="30"/>
      <c r="BP22" s="30">
        <f>46+52+3+2+1</f>
        <v>104</v>
      </c>
      <c r="BQ22" s="42">
        <v>2</v>
      </c>
      <c r="BR22" s="33">
        <v>1088.962</v>
      </c>
      <c r="BS22" s="30"/>
      <c r="BT22" s="30"/>
      <c r="BU22" s="30"/>
      <c r="BV22" s="30">
        <f>107+130+3+2+1+1+1+1</f>
        <v>246</v>
      </c>
      <c r="BW22" s="42">
        <v>2</v>
      </c>
      <c r="BX22" s="33"/>
      <c r="BY22" s="30"/>
      <c r="BZ22" s="30"/>
      <c r="CA22" s="30">
        <v>699.92399999999998</v>
      </c>
      <c r="CB22" s="30">
        <f>74+70+4+2+1</f>
        <v>151</v>
      </c>
      <c r="CC22" s="42">
        <v>4</v>
      </c>
      <c r="CD22" s="33">
        <f t="shared" si="0"/>
        <v>3051.67</v>
      </c>
      <c r="CE22" s="30">
        <f t="shared" si="1"/>
        <v>2098.06</v>
      </c>
      <c r="CF22" s="34">
        <f t="shared" si="2"/>
        <v>846.2360000000001</v>
      </c>
      <c r="CG22" s="426">
        <f t="shared" si="3"/>
        <v>6695.89</v>
      </c>
      <c r="CH22" s="21">
        <f>+Cierre!H17</f>
        <v>6695.86</v>
      </c>
      <c r="CI22" s="17">
        <f t="shared" si="4"/>
        <v>1312</v>
      </c>
      <c r="CJ22" s="22">
        <f>+Cierre!I17</f>
        <v>1312</v>
      </c>
    </row>
    <row r="23" spans="2:91" ht="13" x14ac:dyDescent="0.15">
      <c r="B23" s="63">
        <v>16</v>
      </c>
      <c r="C23" s="434" t="str">
        <f>+Bioacem!C22</f>
        <v>L</v>
      </c>
      <c r="D23" s="291"/>
      <c r="E23" s="489"/>
      <c r="F23" s="489">
        <v>378.29500000000002</v>
      </c>
      <c r="G23" s="489"/>
      <c r="H23" s="30">
        <f>68+4+1+1+1+1</f>
        <v>76</v>
      </c>
      <c r="I23" s="34">
        <v>1</v>
      </c>
      <c r="J23" s="437"/>
      <c r="K23" s="30"/>
      <c r="L23" s="30"/>
      <c r="M23" s="30">
        <v>137.91999999999999</v>
      </c>
      <c r="N23" s="30">
        <f>14+14+1</f>
        <v>29</v>
      </c>
      <c r="O23" s="42">
        <v>4</v>
      </c>
      <c r="P23" s="33"/>
      <c r="Q23" s="30"/>
      <c r="R23" s="30"/>
      <c r="S23" s="30"/>
      <c r="T23" s="30"/>
      <c r="U23" s="42"/>
      <c r="V23" s="33"/>
      <c r="W23" s="30">
        <v>1101.768</v>
      </c>
      <c r="X23" s="30"/>
      <c r="Y23" s="30"/>
      <c r="Z23" s="30">
        <f>36+38+10+8+6</f>
        <v>98</v>
      </c>
      <c r="AA23" s="42">
        <v>3</v>
      </c>
      <c r="AB23" s="33"/>
      <c r="AC23" s="30"/>
      <c r="AD23" s="30">
        <v>578.01599999999996</v>
      </c>
      <c r="AE23" s="30"/>
      <c r="AF23" s="30">
        <f>57+24+2+1+1</f>
        <v>85</v>
      </c>
      <c r="AG23" s="42">
        <v>1</v>
      </c>
      <c r="AH23" s="33"/>
      <c r="AI23" s="30">
        <v>1015.567</v>
      </c>
      <c r="AJ23" s="30"/>
      <c r="AK23" s="30"/>
      <c r="AL23" s="30">
        <f>100+66+2+6+4+3+1</f>
        <v>182</v>
      </c>
      <c r="AM23" s="34">
        <v>2</v>
      </c>
      <c r="AN23" s="437"/>
      <c r="AO23" s="30"/>
      <c r="AP23" s="30"/>
      <c r="AQ23" s="30"/>
      <c r="AR23" s="30"/>
      <c r="AS23" s="42"/>
      <c r="AT23" s="33">
        <v>1637.3150000000001</v>
      </c>
      <c r="AU23" s="30"/>
      <c r="AV23" s="30"/>
      <c r="AW23" s="30"/>
      <c r="AX23" s="30">
        <f>66+35+24+8+3+3+1</f>
        <v>140</v>
      </c>
      <c r="AY23" s="42">
        <v>3</v>
      </c>
      <c r="AZ23" s="33"/>
      <c r="BA23" s="30"/>
      <c r="BB23" s="30">
        <v>1270.085</v>
      </c>
      <c r="BC23" s="30"/>
      <c r="BD23" s="30">
        <f>75+38+8+2+6+3+1</f>
        <v>133</v>
      </c>
      <c r="BE23" s="42" t="s">
        <v>216</v>
      </c>
      <c r="BF23" s="33"/>
      <c r="BG23" s="30"/>
      <c r="BH23" s="30"/>
      <c r="BI23" s="30"/>
      <c r="BJ23" s="30"/>
      <c r="BK23" s="42"/>
      <c r="BL23" s="33"/>
      <c r="BM23" s="30">
        <v>740.85900000000004</v>
      </c>
      <c r="BN23" s="30"/>
      <c r="BO23" s="30"/>
      <c r="BP23" s="30">
        <f>82+61+3+3+2+2</f>
        <v>153</v>
      </c>
      <c r="BQ23" s="42">
        <v>1</v>
      </c>
      <c r="BR23" s="33">
        <v>1210.9100000000001</v>
      </c>
      <c r="BS23" s="30"/>
      <c r="BT23" s="30"/>
      <c r="BU23" s="30"/>
      <c r="BV23" s="30">
        <f>115+89+8+6+4+1+1</f>
        <v>224</v>
      </c>
      <c r="BW23" s="42">
        <v>1</v>
      </c>
      <c r="BX23" s="33">
        <v>1338.0239999999999</v>
      </c>
      <c r="BY23" s="30"/>
      <c r="BZ23" s="30"/>
      <c r="CA23" s="30"/>
      <c r="CB23" s="30">
        <f>138+83+9+5+3+1+1</f>
        <v>240</v>
      </c>
      <c r="CC23" s="42">
        <v>2</v>
      </c>
      <c r="CD23" s="199">
        <f t="shared" si="0"/>
        <v>4186.2489999999998</v>
      </c>
      <c r="CE23" s="30">
        <f t="shared" si="1"/>
        <v>2858.194</v>
      </c>
      <c r="CF23" s="200">
        <f t="shared" si="2"/>
        <v>2226.3960000000002</v>
      </c>
      <c r="CG23" s="426">
        <f>+D23+F23+J23+L23+P23+R23+V23+X23+AB23+AD23+AH23+AJ23+AN23+AP23+AT23+AV23+AZ23+BB23+BF23+BH23+BR23+BT23+BN23+BL23+E23+K23+Q23+W23+AC23+AI23+AO23+AU23+BA23+BG23+BM23+BS23+G23+M23+S23+Y23+AE23+AK23+AQ23+AW23+BC23+BI23+BO23+BU23+BX23+BY23+BZ23+CA23</f>
        <v>9408.759</v>
      </c>
      <c r="CH23" s="21">
        <f>+Cierre!H18</f>
        <v>9408.74</v>
      </c>
      <c r="CI23" s="17">
        <f t="shared" si="4"/>
        <v>1360</v>
      </c>
      <c r="CJ23" s="22">
        <f>+Cierre!I18</f>
        <v>1360</v>
      </c>
      <c r="CL23" s="61"/>
    </row>
    <row r="24" spans="2:91" ht="13" x14ac:dyDescent="0.15">
      <c r="B24" s="63">
        <v>17</v>
      </c>
      <c r="C24" s="433" t="str">
        <f>+Bioacem!C23</f>
        <v>M</v>
      </c>
      <c r="D24" s="291"/>
      <c r="E24" s="489"/>
      <c r="F24" s="489">
        <v>575.53399999999999</v>
      </c>
      <c r="G24" s="489"/>
      <c r="H24" s="30">
        <f>79+4+6+2+1+1</f>
        <v>93</v>
      </c>
      <c r="I24" s="34">
        <v>1</v>
      </c>
      <c r="J24" s="437">
        <v>119.43899999999999</v>
      </c>
      <c r="K24" s="30"/>
      <c r="L24" s="30"/>
      <c r="M24" s="30"/>
      <c r="N24" s="30">
        <f>14+14+2+1</f>
        <v>31</v>
      </c>
      <c r="O24" s="42">
        <v>4</v>
      </c>
      <c r="P24" s="33"/>
      <c r="Q24" s="30"/>
      <c r="R24" s="30"/>
      <c r="S24" s="30"/>
      <c r="T24" s="30"/>
      <c r="U24" s="42"/>
      <c r="V24" s="33"/>
      <c r="W24" s="30">
        <v>1117.546</v>
      </c>
      <c r="X24" s="30"/>
      <c r="Y24" s="30"/>
      <c r="Z24" s="30">
        <f>116+83+6+5+4+2+1</f>
        <v>217</v>
      </c>
      <c r="AA24" s="42">
        <v>2</v>
      </c>
      <c r="AB24" s="33"/>
      <c r="AC24" s="30">
        <v>660.15700000000004</v>
      </c>
      <c r="AD24" s="30"/>
      <c r="AE24" s="30"/>
      <c r="AF24" s="30">
        <f>70+66+5+4+2+2+2+1</f>
        <v>152</v>
      </c>
      <c r="AG24" s="42">
        <v>1</v>
      </c>
      <c r="AH24" s="33"/>
      <c r="AI24" s="30"/>
      <c r="AJ24" s="30">
        <v>390.42500000000001</v>
      </c>
      <c r="AK24" s="30"/>
      <c r="AL24" s="30">
        <f>38+15+2+1+3+4</f>
        <v>63</v>
      </c>
      <c r="AM24" s="34" t="s">
        <v>216</v>
      </c>
      <c r="AN24" s="437">
        <v>1307.008</v>
      </c>
      <c r="AO24" s="30"/>
      <c r="AP24" s="30"/>
      <c r="AQ24" s="30"/>
      <c r="AR24" s="30">
        <f>53+32+22+8+6+5+1</f>
        <v>127</v>
      </c>
      <c r="AS24" s="42">
        <v>3</v>
      </c>
      <c r="AT24" s="33"/>
      <c r="AU24" s="30"/>
      <c r="AV24" s="30"/>
      <c r="AW24" s="30"/>
      <c r="AX24" s="30"/>
      <c r="AY24" s="42"/>
      <c r="AZ24" s="33"/>
      <c r="BA24" s="30"/>
      <c r="BB24" s="30">
        <v>991.55499999999995</v>
      </c>
      <c r="BC24" s="30"/>
      <c r="BD24" s="30">
        <f>77+51+2+3+6+6</f>
        <v>145</v>
      </c>
      <c r="BE24" s="42">
        <v>1</v>
      </c>
      <c r="BF24" s="33"/>
      <c r="BG24" s="30"/>
      <c r="BH24" s="30"/>
      <c r="BI24" s="30"/>
      <c r="BJ24" s="30"/>
      <c r="BK24" s="42"/>
      <c r="BL24" s="33"/>
      <c r="BM24" s="30">
        <v>1237.828</v>
      </c>
      <c r="BN24" s="30"/>
      <c r="BO24" s="30"/>
      <c r="BP24" s="30">
        <f>38+60+10+6+3+2+1</f>
        <v>120</v>
      </c>
      <c r="BQ24" s="42">
        <v>3</v>
      </c>
      <c r="BR24" s="33">
        <v>1142.81</v>
      </c>
      <c r="BS24" s="30"/>
      <c r="BT24" s="30"/>
      <c r="BU24" s="30"/>
      <c r="BV24" s="30">
        <f>131+79+2+5+4+3+1</f>
        <v>225</v>
      </c>
      <c r="BW24" s="42">
        <v>2</v>
      </c>
      <c r="BX24" s="33">
        <v>1041.826</v>
      </c>
      <c r="BY24" s="30"/>
      <c r="BZ24" s="30"/>
      <c r="CA24" s="30"/>
      <c r="CB24" s="30">
        <f>138+90+9+4+3+3+2+1</f>
        <v>250</v>
      </c>
      <c r="CC24" s="42">
        <v>1</v>
      </c>
      <c r="CD24" s="199">
        <f t="shared" si="0"/>
        <v>3611.0830000000001</v>
      </c>
      <c r="CE24" s="30">
        <f t="shared" si="1"/>
        <v>3015.5309999999999</v>
      </c>
      <c r="CF24" s="200">
        <f t="shared" si="2"/>
        <v>1957.5140000000001</v>
      </c>
      <c r="CG24" s="426">
        <f t="shared" si="3"/>
        <v>8584.1280000000006</v>
      </c>
      <c r="CH24" s="21">
        <f>+Cierre!H19</f>
        <v>8584.15</v>
      </c>
      <c r="CI24" s="17">
        <f t="shared" si="4"/>
        <v>1423</v>
      </c>
      <c r="CJ24" s="22">
        <f>+Cierre!I19</f>
        <v>1423</v>
      </c>
      <c r="CK24" s="60"/>
      <c r="CL24" s="60"/>
      <c r="CM24" s="60"/>
    </row>
    <row r="25" spans="2:91" ht="13" x14ac:dyDescent="0.15">
      <c r="B25" s="63">
        <v>18</v>
      </c>
      <c r="C25" s="433" t="str">
        <f>+Bioacem!C24</f>
        <v>M</v>
      </c>
      <c r="D25" s="291">
        <v>1211.5429999999999</v>
      </c>
      <c r="E25" s="489"/>
      <c r="F25" s="489"/>
      <c r="G25" s="489"/>
      <c r="H25" s="30">
        <f>79+13+10+5+4+1</f>
        <v>112</v>
      </c>
      <c r="I25" s="34">
        <v>3</v>
      </c>
      <c r="J25" s="437"/>
      <c r="K25" s="30"/>
      <c r="L25" s="30"/>
      <c r="M25" s="30">
        <v>290.334</v>
      </c>
      <c r="N25" s="30">
        <f>36+14+1+1+1+3</f>
        <v>56</v>
      </c>
      <c r="O25" s="42">
        <v>4</v>
      </c>
      <c r="P25" s="33"/>
      <c r="Q25" s="30">
        <v>1051.3040000000001</v>
      </c>
      <c r="R25" s="30"/>
      <c r="S25" s="30"/>
      <c r="T25" s="30">
        <f>83+82+7+4+3+2+1+1</f>
        <v>183</v>
      </c>
      <c r="U25" s="42">
        <v>1</v>
      </c>
      <c r="V25" s="33">
        <v>696.53</v>
      </c>
      <c r="W25" s="30"/>
      <c r="X25" s="30"/>
      <c r="Y25" s="30"/>
      <c r="Z25" s="30">
        <f>57+46+6+3+2+2</f>
        <v>116</v>
      </c>
      <c r="AA25" s="42">
        <v>1</v>
      </c>
      <c r="AB25" s="33">
        <v>1044.4929999999999</v>
      </c>
      <c r="AC25" s="30"/>
      <c r="AD25" s="30"/>
      <c r="AE25" s="30"/>
      <c r="AF25" s="30">
        <f>133+79+9+4+4+3+2</f>
        <v>234</v>
      </c>
      <c r="AG25" s="42">
        <v>2</v>
      </c>
      <c r="AH25" s="33"/>
      <c r="AI25" s="30"/>
      <c r="AJ25" s="30">
        <v>1106.625</v>
      </c>
      <c r="AK25" s="30"/>
      <c r="AL25" s="30">
        <f>68+46+7+1+1+4+7</f>
        <v>134</v>
      </c>
      <c r="AM25" s="34" t="s">
        <v>216</v>
      </c>
      <c r="AN25" s="437">
        <v>458.58199999999999</v>
      </c>
      <c r="AO25" s="30"/>
      <c r="AP25" s="30"/>
      <c r="AQ25" s="30"/>
      <c r="AR25" s="30">
        <f>68+61+5+1</f>
        <v>135</v>
      </c>
      <c r="AS25" s="42">
        <v>1</v>
      </c>
      <c r="AT25" s="33"/>
      <c r="AU25" s="30"/>
      <c r="AV25" s="30"/>
      <c r="AW25" s="30"/>
      <c r="AX25" s="30"/>
      <c r="AY25" s="42"/>
      <c r="AZ25" s="33"/>
      <c r="BA25" s="30"/>
      <c r="BB25" s="30">
        <v>500.67599999999999</v>
      </c>
      <c r="BC25" s="30"/>
      <c r="BD25" s="30">
        <f>50+24+4+1+1+1</f>
        <v>81</v>
      </c>
      <c r="BE25" s="42">
        <v>1</v>
      </c>
      <c r="BF25" s="33"/>
      <c r="BG25" s="30"/>
      <c r="BH25" s="30"/>
      <c r="BI25" s="30">
        <v>11.935</v>
      </c>
      <c r="BJ25" s="30">
        <v>1</v>
      </c>
      <c r="BK25" s="42">
        <v>4</v>
      </c>
      <c r="BL25" s="33"/>
      <c r="BM25" s="30">
        <v>501.78199999999998</v>
      </c>
      <c r="BN25" s="30"/>
      <c r="BO25" s="30"/>
      <c r="BP25" s="30">
        <f>81+38+3+2+1</f>
        <v>125</v>
      </c>
      <c r="BQ25" s="42">
        <v>2</v>
      </c>
      <c r="BR25" s="33"/>
      <c r="BS25" s="30"/>
      <c r="BT25" s="30">
        <v>1598.953</v>
      </c>
      <c r="BU25" s="30"/>
      <c r="BV25" s="30">
        <f>80+30+5+19+7+3+2+2</f>
        <v>148</v>
      </c>
      <c r="BW25" s="42">
        <v>3</v>
      </c>
      <c r="BX25" s="33"/>
      <c r="BY25" s="30"/>
      <c r="BZ25" s="30">
        <v>334.11</v>
      </c>
      <c r="CA25" s="30"/>
      <c r="CB25" s="30">
        <f>24+15+2+4</f>
        <v>45</v>
      </c>
      <c r="CC25" s="42" t="s">
        <v>216</v>
      </c>
      <c r="CD25" s="199">
        <f t="shared" si="0"/>
        <v>3411.1479999999992</v>
      </c>
      <c r="CE25" s="30">
        <f t="shared" si="1"/>
        <v>1553.086</v>
      </c>
      <c r="CF25" s="200">
        <f t="shared" si="2"/>
        <v>3540.364</v>
      </c>
      <c r="CG25" s="426">
        <f t="shared" si="3"/>
        <v>8806.8670000000002</v>
      </c>
      <c r="CH25" s="21">
        <f>+Cierre!H20</f>
        <v>8806.880000000001</v>
      </c>
      <c r="CI25" s="17">
        <f t="shared" si="4"/>
        <v>1370</v>
      </c>
      <c r="CJ25" s="22">
        <f>+Cierre!I20</f>
        <v>1370</v>
      </c>
      <c r="CK25" s="60"/>
      <c r="CL25" s="60"/>
      <c r="CM25" s="60"/>
    </row>
    <row r="26" spans="2:91" ht="13" x14ac:dyDescent="0.15">
      <c r="B26" s="63">
        <v>19</v>
      </c>
      <c r="C26" s="433" t="str">
        <f>+Bioacem!C25</f>
        <v>J</v>
      </c>
      <c r="D26" s="291"/>
      <c r="E26" s="489">
        <v>24.074999999999999</v>
      </c>
      <c r="F26" s="489"/>
      <c r="G26" s="489"/>
      <c r="H26" s="30">
        <f>6+1</f>
        <v>7</v>
      </c>
      <c r="I26" s="34">
        <v>1</v>
      </c>
      <c r="J26" s="437"/>
      <c r="K26" s="30"/>
      <c r="L26" s="30"/>
      <c r="M26" s="30"/>
      <c r="N26" s="30"/>
      <c r="O26" s="42"/>
      <c r="P26" s="33"/>
      <c r="Q26" s="30">
        <v>1075.039</v>
      </c>
      <c r="R26" s="30"/>
      <c r="S26" s="30"/>
      <c r="T26" s="30">
        <f>96+98+4+6+7+4</f>
        <v>215</v>
      </c>
      <c r="U26" s="42">
        <v>2</v>
      </c>
      <c r="V26" s="33">
        <v>1116.0519999999999</v>
      </c>
      <c r="W26" s="30"/>
      <c r="X26" s="30"/>
      <c r="Y26" s="30"/>
      <c r="Z26" s="30">
        <f>166+89+5+3+7+5+2+1+1</f>
        <v>279</v>
      </c>
      <c r="AA26" s="42">
        <v>2</v>
      </c>
      <c r="AB26" s="33">
        <v>1762.3389999999999</v>
      </c>
      <c r="AC26" s="30"/>
      <c r="AD26" s="30"/>
      <c r="AE26" s="30"/>
      <c r="AF26" s="30">
        <f>49+36+29+7+4+3+3+1</f>
        <v>132</v>
      </c>
      <c r="AG26" s="42">
        <v>3</v>
      </c>
      <c r="AH26" s="33"/>
      <c r="AI26" s="30"/>
      <c r="AJ26" s="30">
        <v>387.07900000000001</v>
      </c>
      <c r="AK26" s="30"/>
      <c r="AL26" s="30">
        <f>38+13+3+1+2</f>
        <v>57</v>
      </c>
      <c r="AM26" s="34">
        <v>1</v>
      </c>
      <c r="AN26" s="437">
        <v>933.14</v>
      </c>
      <c r="AO26" s="30"/>
      <c r="AP26" s="30"/>
      <c r="AQ26" s="30"/>
      <c r="AR26" s="30">
        <f>32+38+3+4+6+3</f>
        <v>86</v>
      </c>
      <c r="AS26" s="42" t="s">
        <v>216</v>
      </c>
      <c r="AT26" s="33"/>
      <c r="AU26" s="30">
        <v>1048.027</v>
      </c>
      <c r="AV26" s="30"/>
      <c r="AW26" s="30"/>
      <c r="AX26" s="30">
        <f>69+58+6+9+2+2+1</f>
        <v>147</v>
      </c>
      <c r="AY26" s="42">
        <v>3</v>
      </c>
      <c r="AZ26" s="33"/>
      <c r="BA26" s="30"/>
      <c r="BB26" s="30"/>
      <c r="BC26" s="30"/>
      <c r="BD26" s="30"/>
      <c r="BE26" s="42"/>
      <c r="BF26" s="33"/>
      <c r="BG26" s="30"/>
      <c r="BH26" s="30"/>
      <c r="BI26" s="30">
        <v>56.488999999999997</v>
      </c>
      <c r="BJ26" s="30">
        <f>8+4+1</f>
        <v>13</v>
      </c>
      <c r="BK26" s="42">
        <v>4</v>
      </c>
      <c r="BL26" s="33">
        <v>1158.579</v>
      </c>
      <c r="BM26" s="30"/>
      <c r="BN26" s="30"/>
      <c r="BO26" s="30"/>
      <c r="BP26" s="30">
        <f>144+54+12+8+7+4</f>
        <v>229</v>
      </c>
      <c r="BQ26" s="42">
        <v>1</v>
      </c>
      <c r="BR26" s="33">
        <v>287.20299999999997</v>
      </c>
      <c r="BS26" s="30"/>
      <c r="BT26" s="30"/>
      <c r="BU26" s="30"/>
      <c r="BV26" s="30">
        <f>34+14+2+1+1</f>
        <v>52</v>
      </c>
      <c r="BW26" s="42">
        <v>4</v>
      </c>
      <c r="BX26" s="33"/>
      <c r="BY26" s="30"/>
      <c r="BZ26" s="30">
        <v>753.21600000000001</v>
      </c>
      <c r="CA26" s="30"/>
      <c r="CB26" s="30">
        <f>65+37+4+3+4</f>
        <v>113</v>
      </c>
      <c r="CC26" s="42">
        <v>1</v>
      </c>
      <c r="CD26" s="199">
        <f t="shared" si="0"/>
        <v>5257.3130000000001</v>
      </c>
      <c r="CE26" s="30">
        <f t="shared" si="1"/>
        <v>2147.1409999999996</v>
      </c>
      <c r="CF26" s="200">
        <f t="shared" si="2"/>
        <v>1140.2950000000001</v>
      </c>
      <c r="CG26" s="426">
        <f t="shared" si="3"/>
        <v>8601.2379999999994</v>
      </c>
      <c r="CH26" s="21">
        <f>+Cierre!H21</f>
        <v>8601.27</v>
      </c>
      <c r="CI26" s="17">
        <f t="shared" si="4"/>
        <v>1330</v>
      </c>
      <c r="CJ26" s="22">
        <f>+Cierre!I21</f>
        <v>1330</v>
      </c>
      <c r="CK26" s="60"/>
      <c r="CL26" s="60"/>
      <c r="CM26" s="60"/>
    </row>
    <row r="27" spans="2:91" ht="13" x14ac:dyDescent="0.15">
      <c r="B27" s="63">
        <v>20</v>
      </c>
      <c r="C27" s="433" t="str">
        <f>+Bioacem!C26</f>
        <v>V</v>
      </c>
      <c r="D27" s="291"/>
      <c r="E27" s="489"/>
      <c r="F27" s="489"/>
      <c r="G27" s="489"/>
      <c r="H27" s="30"/>
      <c r="I27" s="34"/>
      <c r="J27" s="437"/>
      <c r="K27" s="30"/>
      <c r="L27" s="30"/>
      <c r="M27" s="30"/>
      <c r="N27" s="30"/>
      <c r="O27" s="42"/>
      <c r="P27" s="33"/>
      <c r="Q27" s="30">
        <v>1046.085</v>
      </c>
      <c r="R27" s="30"/>
      <c r="S27" s="30"/>
      <c r="T27" s="30">
        <f>41+31+7+6+5+4</f>
        <v>94</v>
      </c>
      <c r="U27" s="42">
        <v>3</v>
      </c>
      <c r="V27" s="33"/>
      <c r="W27" s="30">
        <v>992.66600000000005</v>
      </c>
      <c r="X27" s="30"/>
      <c r="Y27" s="30"/>
      <c r="Z27" s="30">
        <f>110+78+2+2+2+1+1</f>
        <v>196</v>
      </c>
      <c r="AA27" s="42">
        <v>1</v>
      </c>
      <c r="AB27" s="33"/>
      <c r="AC27" s="30"/>
      <c r="AD27" s="30"/>
      <c r="AE27" s="30"/>
      <c r="AF27" s="30"/>
      <c r="AG27" s="42"/>
      <c r="AH27" s="380">
        <v>1292.934</v>
      </c>
      <c r="AI27" s="76"/>
      <c r="AJ27" s="76"/>
      <c r="AK27" s="76"/>
      <c r="AL27" s="30">
        <f>146+62+11+6+3+2+1</f>
        <v>231</v>
      </c>
      <c r="AM27" s="34">
        <v>1</v>
      </c>
      <c r="AN27" s="437"/>
      <c r="AO27" s="30"/>
      <c r="AP27" s="30">
        <v>944.06399999999996</v>
      </c>
      <c r="AQ27" s="30"/>
      <c r="AR27" s="30">
        <f>53+90+1+1+2+2</f>
        <v>149</v>
      </c>
      <c r="AS27" s="42" t="s">
        <v>216</v>
      </c>
      <c r="AT27" s="33"/>
      <c r="AU27" s="30">
        <v>1175.54</v>
      </c>
      <c r="AV27" s="30"/>
      <c r="AW27" s="30"/>
      <c r="AX27" s="30">
        <f>123+92+4+8+2+6</f>
        <v>235</v>
      </c>
      <c r="AY27" s="42">
        <v>2</v>
      </c>
      <c r="AZ27" s="33">
        <v>1164.567</v>
      </c>
      <c r="BA27" s="30"/>
      <c r="BB27" s="30"/>
      <c r="BC27" s="30"/>
      <c r="BD27" s="30">
        <f>134+96+1+9+6+3+2+1+1</f>
        <v>253</v>
      </c>
      <c r="BE27" s="42">
        <v>2</v>
      </c>
      <c r="BF27" s="33"/>
      <c r="BG27" s="30"/>
      <c r="BH27" s="30"/>
      <c r="BI27" s="30">
        <v>179.89699999999999</v>
      </c>
      <c r="BJ27" s="30">
        <f>6+3+5+2</f>
        <v>16</v>
      </c>
      <c r="BK27" s="42">
        <v>4</v>
      </c>
      <c r="BL27" s="33">
        <v>1924.8589999999999</v>
      </c>
      <c r="BM27" s="30"/>
      <c r="BN27" s="30"/>
      <c r="BO27" s="30"/>
      <c r="BP27" s="30">
        <f>96+24+6+10+13+1+1</f>
        <v>151</v>
      </c>
      <c r="BQ27" s="42">
        <v>3</v>
      </c>
      <c r="BR27" s="33"/>
      <c r="BS27" s="30"/>
      <c r="BT27" s="30">
        <v>618.07799999999997</v>
      </c>
      <c r="BU27" s="30"/>
      <c r="BV27" s="30">
        <f>42+41+3+1</f>
        <v>87</v>
      </c>
      <c r="BW27" s="42" t="s">
        <v>216</v>
      </c>
      <c r="BX27" s="33"/>
      <c r="BY27" s="30"/>
      <c r="BZ27" s="30">
        <v>544.52700000000004</v>
      </c>
      <c r="CA27" s="30"/>
      <c r="CB27" s="30">
        <f>41+18+15+2+2+1+1</f>
        <v>80</v>
      </c>
      <c r="CC27" s="42">
        <v>1</v>
      </c>
      <c r="CD27" s="199">
        <f>+BR27+BL27+BF27+AZ27+AT27+AN27+AH28+AB27+V27+P27+J27+D27+BX27</f>
        <v>4490.3050000000003</v>
      </c>
      <c r="CE27" s="30">
        <f>+BS27+BM27+BG27+BA27+AU27+AO27+AI28+AC27+W27+Q27+K27+E27+BY27</f>
        <v>3214.2910000000002</v>
      </c>
      <c r="CF27" s="200">
        <f>+BT27+BN27+BH27+BB27+AV27+AP27+AJ28+AD27+X27+R27+L27+F27+BZ27</f>
        <v>2106.6689999999999</v>
      </c>
      <c r="CG27" s="426">
        <f t="shared" ref="CG27:CG38" si="5">+D27+F27+J27+L27+P27+R27+V27+X27+AB27+AD27+AH27+AJ27+AN27+AP27+AT27+AV27+AZ27+BB27+BF27+BH27+BR27+BT27+BN27+BL27+E27+K27+Q27+W27+AC27+AI27+AO27+AU27+BA27+BG27+BM27+BS27+G27+M27+S27+Y27+AE27+AK27+AQ27+AW27+BC27+BI27+BO27+BU27+BX27+BY27+BZ27+CA27</f>
        <v>9883.2170000000024</v>
      </c>
      <c r="CH27" s="21">
        <f>+Cierre!H22</f>
        <v>9883.25</v>
      </c>
      <c r="CI27" s="17">
        <f t="shared" ref="CI27:CI38" si="6">+H27+N27+T27+Z27+AF27+AL27+AR27+AX27+BD27+BJ27+BV27+BP27+CB27</f>
        <v>1492</v>
      </c>
      <c r="CJ27" s="22">
        <f>+Cierre!I22</f>
        <v>1492</v>
      </c>
      <c r="CK27" s="60"/>
      <c r="CL27" s="60"/>
      <c r="CM27" s="60"/>
    </row>
    <row r="28" spans="2:91" ht="13" x14ac:dyDescent="0.15">
      <c r="B28" s="63">
        <v>21</v>
      </c>
      <c r="C28" s="433" t="str">
        <f>+Bioacem!C27</f>
        <v>S</v>
      </c>
      <c r="D28" s="291"/>
      <c r="E28" s="489"/>
      <c r="F28" s="489"/>
      <c r="G28" s="489"/>
      <c r="H28" s="30"/>
      <c r="I28" s="34"/>
      <c r="J28" s="437"/>
      <c r="K28" s="30"/>
      <c r="L28" s="30"/>
      <c r="M28" s="30"/>
      <c r="N28" s="30"/>
      <c r="O28" s="42"/>
      <c r="P28" s="33"/>
      <c r="Q28" s="30">
        <v>1145.6590000000001</v>
      </c>
      <c r="R28" s="30"/>
      <c r="S28" s="30"/>
      <c r="T28" s="30">
        <f>148+98+6+2+1</f>
        <v>255</v>
      </c>
      <c r="U28" s="42">
        <v>1</v>
      </c>
      <c r="V28" s="33"/>
      <c r="W28" s="30"/>
      <c r="X28" s="30"/>
      <c r="Y28" s="30"/>
      <c r="Z28" s="30"/>
      <c r="AA28" s="42"/>
      <c r="AB28" s="33">
        <v>1283.9369999999999</v>
      </c>
      <c r="AC28" s="30"/>
      <c r="AD28" s="30"/>
      <c r="AE28" s="30"/>
      <c r="AF28" s="30">
        <f>145+129+3+2+1+1</f>
        <v>281</v>
      </c>
      <c r="AG28" s="42">
        <v>1</v>
      </c>
      <c r="AH28" s="33">
        <v>1400.8789999999999</v>
      </c>
      <c r="AI28" s="30"/>
      <c r="AJ28" s="30"/>
      <c r="AK28" s="30"/>
      <c r="AL28" s="30">
        <f>186+88+3+4+2+1+1+1+1</f>
        <v>287</v>
      </c>
      <c r="AM28" s="34">
        <v>2</v>
      </c>
      <c r="AN28" s="437"/>
      <c r="AO28" s="30"/>
      <c r="AP28" s="30">
        <v>478.89100000000002</v>
      </c>
      <c r="AQ28" s="30"/>
      <c r="AR28" s="30">
        <f>55+42+2+1+1</f>
        <v>101</v>
      </c>
      <c r="AS28" s="42">
        <v>1</v>
      </c>
      <c r="AT28" s="33"/>
      <c r="AU28" s="30"/>
      <c r="AV28" s="30">
        <v>260.58199999999999</v>
      </c>
      <c r="AW28" s="30"/>
      <c r="AX28" s="30">
        <f>29+25+4+1</f>
        <v>59</v>
      </c>
      <c r="AY28" s="42" t="s">
        <v>216</v>
      </c>
      <c r="AZ28" s="33">
        <v>1518.9649999999999</v>
      </c>
      <c r="BA28" s="30"/>
      <c r="BB28" s="30"/>
      <c r="BC28" s="30"/>
      <c r="BD28" s="30">
        <f>87+65+11+10+4+1+1</f>
        <v>179</v>
      </c>
      <c r="BE28" s="42">
        <v>3</v>
      </c>
      <c r="BF28" s="33"/>
      <c r="BG28" s="30"/>
      <c r="BH28" s="30"/>
      <c r="BI28" s="30">
        <v>30.187000000000001</v>
      </c>
      <c r="BJ28" s="30">
        <f>2+1</f>
        <v>3</v>
      </c>
      <c r="BK28" s="42">
        <v>4</v>
      </c>
      <c r="BL28" s="33"/>
      <c r="BM28" s="30">
        <v>987.12300000000005</v>
      </c>
      <c r="BN28" s="30"/>
      <c r="BO28" s="30"/>
      <c r="BP28" s="30">
        <f>81+121+3+1+1</f>
        <v>207</v>
      </c>
      <c r="BQ28" s="42">
        <v>2</v>
      </c>
      <c r="BR28" s="33"/>
      <c r="BS28" s="30"/>
      <c r="BT28" s="30">
        <v>1045.365</v>
      </c>
      <c r="BU28" s="30"/>
      <c r="BV28" s="30">
        <f>105+55+5+2+1</f>
        <v>168</v>
      </c>
      <c r="BW28" s="42">
        <v>1</v>
      </c>
      <c r="BX28" s="33"/>
      <c r="BY28" s="30">
        <v>983.14599999999996</v>
      </c>
      <c r="BZ28" s="30"/>
      <c r="CA28" s="30"/>
      <c r="CB28" s="30">
        <f>51+70+2+3+3</f>
        <v>129</v>
      </c>
      <c r="CC28" s="42">
        <v>3</v>
      </c>
      <c r="CD28" s="33">
        <f t="shared" ref="CD28:CD38" si="7">+BR28+BL28+BF28+AZ28+AT28+AN28+AH29+AB28+V28+P28+J28+D28+BX28</f>
        <v>2802.902</v>
      </c>
      <c r="CE28" s="30">
        <f t="shared" ref="CE28:CE38" si="8">+BS28+BM28+BG28+BA28+AU28+AO28+AI29+AC28+W28+Q28+K28+E28+BY28</f>
        <v>3115.9279999999999</v>
      </c>
      <c r="CF28" s="34">
        <f t="shared" ref="CF28:CF38" si="9">+BT28+BN28+BH28+BB28+AV28+AP28+AJ29+AD28+X28+R28+L28+F28+BZ28</f>
        <v>2037.8110000000001</v>
      </c>
      <c r="CG28" s="426">
        <f t="shared" si="5"/>
        <v>9134.7340000000004</v>
      </c>
      <c r="CH28" s="21">
        <f>+Cierre!H23</f>
        <v>9134.75</v>
      </c>
      <c r="CI28" s="17">
        <f t="shared" si="6"/>
        <v>1669</v>
      </c>
      <c r="CJ28" s="22">
        <f>+Cierre!I23</f>
        <v>1669</v>
      </c>
    </row>
    <row r="29" spans="2:91" ht="13" x14ac:dyDescent="0.15">
      <c r="B29" s="63">
        <v>22</v>
      </c>
      <c r="C29" s="433" t="str">
        <f>+Bioacem!C28</f>
        <v>D</v>
      </c>
      <c r="D29" s="291"/>
      <c r="E29" s="489"/>
      <c r="F29" s="489"/>
      <c r="G29" s="489"/>
      <c r="H29" s="30"/>
      <c r="I29" s="34"/>
      <c r="J29" s="437"/>
      <c r="K29" s="30"/>
      <c r="L29" s="30"/>
      <c r="M29" s="30"/>
      <c r="N29" s="30"/>
      <c r="O29" s="42"/>
      <c r="P29" s="33"/>
      <c r="Q29" s="30">
        <v>727.07799999999997</v>
      </c>
      <c r="R29" s="30"/>
      <c r="S29" s="30"/>
      <c r="T29" s="30">
        <f>74+60+6+2+1+1+1</f>
        <v>145</v>
      </c>
      <c r="U29" s="42">
        <v>2</v>
      </c>
      <c r="V29" s="33">
        <v>1074.847</v>
      </c>
      <c r="W29" s="30"/>
      <c r="X29" s="30"/>
      <c r="Y29" s="30"/>
      <c r="Z29" s="30">
        <f>85+75+2+1+6+3</f>
        <v>172</v>
      </c>
      <c r="AA29" s="42">
        <v>3</v>
      </c>
      <c r="AB29" s="33"/>
      <c r="AC29" s="30"/>
      <c r="AD29" s="30"/>
      <c r="AE29" s="30"/>
      <c r="AF29" s="30"/>
      <c r="AG29" s="42"/>
      <c r="AH29" s="33"/>
      <c r="AI29" s="30"/>
      <c r="AJ29" s="30">
        <v>252.97300000000001</v>
      </c>
      <c r="AK29" s="30"/>
      <c r="AL29" s="30">
        <f>27+8+3</f>
        <v>38</v>
      </c>
      <c r="AM29" s="34" t="s">
        <v>216</v>
      </c>
      <c r="AN29" s="437"/>
      <c r="AO29" s="30">
        <v>806.76400000000001</v>
      </c>
      <c r="AP29" s="30"/>
      <c r="AQ29" s="30"/>
      <c r="AR29" s="30">
        <f>88+79+3+2+2</f>
        <v>174</v>
      </c>
      <c r="AS29" s="42">
        <v>1</v>
      </c>
      <c r="AT29" s="33"/>
      <c r="AU29" s="30"/>
      <c r="AV29" s="30">
        <v>606.98699999999997</v>
      </c>
      <c r="AW29" s="30"/>
      <c r="AX29" s="30">
        <f>73+30+2+2+1</f>
        <v>108</v>
      </c>
      <c r="AY29" s="42">
        <v>1</v>
      </c>
      <c r="AZ29" s="33">
        <v>1250.9570000000001</v>
      </c>
      <c r="BA29" s="30"/>
      <c r="BB29" s="30"/>
      <c r="BC29" s="30"/>
      <c r="BD29" s="30">
        <f>129+129+6+1</f>
        <v>265</v>
      </c>
      <c r="BE29" s="42">
        <v>1</v>
      </c>
      <c r="BF29" s="33"/>
      <c r="BG29" s="30"/>
      <c r="BH29" s="30"/>
      <c r="BI29" s="30"/>
      <c r="BJ29" s="30"/>
      <c r="BK29" s="42"/>
      <c r="BL29" s="33">
        <v>1000.942</v>
      </c>
      <c r="BM29" s="30"/>
      <c r="BN29" s="30"/>
      <c r="BO29" s="30"/>
      <c r="BP29" s="30">
        <f>166+66+2</f>
        <v>234</v>
      </c>
      <c r="BQ29" s="42">
        <v>2</v>
      </c>
      <c r="BR29" s="33"/>
      <c r="BS29" s="30"/>
      <c r="BT29" s="30">
        <v>201.3</v>
      </c>
      <c r="BU29" s="30"/>
      <c r="BV29" s="30">
        <f>28+18+1</f>
        <v>47</v>
      </c>
      <c r="BW29" s="42">
        <v>1</v>
      </c>
      <c r="BX29" s="33"/>
      <c r="BY29" s="30">
        <v>333.88900000000001</v>
      </c>
      <c r="BZ29" s="30"/>
      <c r="CA29" s="30"/>
      <c r="CB29" s="30">
        <f>32+27+2+1+1+1</f>
        <v>64</v>
      </c>
      <c r="CC29" s="42">
        <v>3</v>
      </c>
      <c r="CD29" s="33">
        <f t="shared" si="7"/>
        <v>3326.7460000000001</v>
      </c>
      <c r="CE29" s="30">
        <f t="shared" si="8"/>
        <v>1867.7310000000002</v>
      </c>
      <c r="CF29" s="34">
        <f t="shared" si="9"/>
        <v>1593.1979999999999</v>
      </c>
      <c r="CG29" s="426">
        <f t="shared" si="5"/>
        <v>6255.737000000001</v>
      </c>
      <c r="CH29" s="21">
        <f>+Cierre!H24</f>
        <v>6255.74</v>
      </c>
      <c r="CI29" s="17">
        <f t="shared" si="6"/>
        <v>1247</v>
      </c>
      <c r="CJ29" s="22">
        <f>+Cierre!I24</f>
        <v>1247</v>
      </c>
    </row>
    <row r="30" spans="2:91" ht="13" x14ac:dyDescent="0.15">
      <c r="B30" s="63">
        <v>23</v>
      </c>
      <c r="C30" s="434" t="str">
        <f>+Bioacem!C29</f>
        <v>L</v>
      </c>
      <c r="D30" s="291"/>
      <c r="E30" s="489"/>
      <c r="F30" s="489"/>
      <c r="G30" s="489"/>
      <c r="H30" s="30"/>
      <c r="I30" s="34"/>
      <c r="J30" s="437">
        <v>1407.3710000000001</v>
      </c>
      <c r="K30" s="30"/>
      <c r="L30" s="30"/>
      <c r="M30" s="30"/>
      <c r="N30" s="30">
        <f>146+90+6+5+5+2+1</f>
        <v>255</v>
      </c>
      <c r="O30" s="42">
        <v>2</v>
      </c>
      <c r="P30" s="33"/>
      <c r="Q30" s="30"/>
      <c r="R30" s="30"/>
      <c r="S30" s="30"/>
      <c r="T30" s="30"/>
      <c r="U30" s="42"/>
      <c r="V30" s="33">
        <v>1292.0909999999999</v>
      </c>
      <c r="W30" s="30"/>
      <c r="X30" s="30"/>
      <c r="Y30" s="30"/>
      <c r="Z30" s="30">
        <f>135+70+8+7+4+3+2</f>
        <v>229</v>
      </c>
      <c r="AA30" s="42">
        <v>1</v>
      </c>
      <c r="AB30" s="33"/>
      <c r="AC30" s="30"/>
      <c r="AD30" s="30">
        <v>399.971</v>
      </c>
      <c r="AE30" s="30"/>
      <c r="AF30" s="30">
        <f>28+17+3+1+1</f>
        <v>50</v>
      </c>
      <c r="AG30" s="42" t="s">
        <v>216</v>
      </c>
      <c r="AH30" s="33"/>
      <c r="AI30" s="30"/>
      <c r="AJ30" s="30">
        <v>784.91099999999994</v>
      </c>
      <c r="AK30" s="30"/>
      <c r="AL30" s="30">
        <f>74+31+5+1+1</f>
        <v>112</v>
      </c>
      <c r="AM30" s="34">
        <v>1</v>
      </c>
      <c r="AN30" s="437">
        <v>1738.4369999999999</v>
      </c>
      <c r="AO30" s="30"/>
      <c r="AP30" s="30"/>
      <c r="AQ30" s="30"/>
      <c r="AR30" s="30">
        <f>64+34+26+9+6+3+2+1</f>
        <v>145</v>
      </c>
      <c r="AS30" s="42">
        <v>1</v>
      </c>
      <c r="AT30" s="33"/>
      <c r="AU30" s="30"/>
      <c r="AV30" s="30">
        <v>631.97299999999996</v>
      </c>
      <c r="AW30" s="30"/>
      <c r="AX30" s="30">
        <f>60+26+3+3+1</f>
        <v>93</v>
      </c>
      <c r="AY30" s="42">
        <v>1</v>
      </c>
      <c r="AZ30" s="33"/>
      <c r="BA30" s="30"/>
      <c r="BB30" s="30"/>
      <c r="BC30" s="30"/>
      <c r="BD30" s="30"/>
      <c r="BE30" s="42"/>
      <c r="BF30" s="33"/>
      <c r="BG30" s="30"/>
      <c r="BH30" s="30"/>
      <c r="BI30" s="30">
        <v>120.941</v>
      </c>
      <c r="BJ30" s="30">
        <f>14+5+1+1</f>
        <v>21</v>
      </c>
      <c r="BK30" s="42">
        <v>4</v>
      </c>
      <c r="BL30" s="33"/>
      <c r="BM30" s="30">
        <v>606.03</v>
      </c>
      <c r="BN30" s="30"/>
      <c r="BO30" s="30"/>
      <c r="BP30" s="30">
        <f>41+14+7+6+4</f>
        <v>72</v>
      </c>
      <c r="BQ30" s="42">
        <v>3</v>
      </c>
      <c r="BR30" s="33"/>
      <c r="BS30" s="30">
        <v>805.5</v>
      </c>
      <c r="BT30" s="30"/>
      <c r="BU30" s="30"/>
      <c r="BV30" s="30">
        <f>96+69+4+4+3+2+2</f>
        <v>180</v>
      </c>
      <c r="BW30" s="42">
        <v>1</v>
      </c>
      <c r="BX30" s="33"/>
      <c r="BY30" s="30">
        <v>1083.8040000000001</v>
      </c>
      <c r="BZ30" s="30"/>
      <c r="CA30" s="30"/>
      <c r="CB30" s="30">
        <f>98+77+3+2+7+4+3+1</f>
        <v>195</v>
      </c>
      <c r="CC30" s="42">
        <v>2</v>
      </c>
      <c r="CD30" s="33">
        <f t="shared" si="7"/>
        <v>4437.8989999999994</v>
      </c>
      <c r="CE30" s="30">
        <f t="shared" si="8"/>
        <v>2495.3339999999998</v>
      </c>
      <c r="CF30" s="34">
        <f t="shared" si="9"/>
        <v>1387.06</v>
      </c>
      <c r="CG30" s="426">
        <f t="shared" si="5"/>
        <v>8871.0289999999986</v>
      </c>
      <c r="CH30" s="21">
        <f>+Cierre!H25</f>
        <v>8871.07</v>
      </c>
      <c r="CI30" s="17">
        <f t="shared" si="6"/>
        <v>1352</v>
      </c>
      <c r="CJ30" s="22">
        <f>+Cierre!I25</f>
        <v>1352</v>
      </c>
      <c r="CK30" s="60"/>
      <c r="CL30" s="60"/>
      <c r="CM30" s="60"/>
    </row>
    <row r="31" spans="2:91" ht="13" x14ac:dyDescent="0.15">
      <c r="B31" s="63">
        <v>24</v>
      </c>
      <c r="C31" s="433" t="str">
        <f>+Bioacem!C30</f>
        <v>M</v>
      </c>
      <c r="D31" s="291"/>
      <c r="E31" s="489"/>
      <c r="F31" s="489"/>
      <c r="G31" s="489"/>
      <c r="H31" s="30"/>
      <c r="I31" s="34"/>
      <c r="J31" s="437"/>
      <c r="K31" s="30"/>
      <c r="L31" s="30"/>
      <c r="M31" s="30"/>
      <c r="N31" s="30"/>
      <c r="O31" s="42"/>
      <c r="P31" s="33">
        <v>1125.2170000000001</v>
      </c>
      <c r="Q31" s="30"/>
      <c r="R31" s="30"/>
      <c r="S31" s="30"/>
      <c r="T31" s="30">
        <f>129+53+7+6+5+2+1</f>
        <v>203</v>
      </c>
      <c r="U31" s="42">
        <v>1</v>
      </c>
      <c r="V31" s="33">
        <v>1115.7829999999999</v>
      </c>
      <c r="W31" s="30"/>
      <c r="X31" s="30"/>
      <c r="Y31" s="30"/>
      <c r="Z31" s="30">
        <f>43+41+1+6+3+11</f>
        <v>105</v>
      </c>
      <c r="AA31" s="42">
        <v>2</v>
      </c>
      <c r="AB31" s="33"/>
      <c r="AC31" s="30"/>
      <c r="AD31" s="30">
        <v>982.46</v>
      </c>
      <c r="AE31" s="30"/>
      <c r="AF31" s="30">
        <f>39+66+1+4+2+1+2+2</f>
        <v>117</v>
      </c>
      <c r="AG31" s="42">
        <v>1</v>
      </c>
      <c r="AH31" s="33"/>
      <c r="AI31" s="30"/>
      <c r="AJ31" s="30">
        <v>355.11599999999999</v>
      </c>
      <c r="AK31" s="30"/>
      <c r="AL31" s="30">
        <f>53+10+2+1</f>
        <v>66</v>
      </c>
      <c r="AM31" s="34">
        <v>1</v>
      </c>
      <c r="AN31" s="437"/>
      <c r="AO31" s="30">
        <v>779.47299999999996</v>
      </c>
      <c r="AP31" s="30"/>
      <c r="AQ31" s="30"/>
      <c r="AR31" s="30">
        <f>87+67+10+3+3+1+1</f>
        <v>172</v>
      </c>
      <c r="AS31" s="42">
        <v>2</v>
      </c>
      <c r="AT31" s="33"/>
      <c r="AU31" s="30">
        <v>884.43799999999999</v>
      </c>
      <c r="AV31" s="30"/>
      <c r="AW31" s="30"/>
      <c r="AX31" s="30">
        <f>135+72+5+4+4+3+2+1</f>
        <v>226</v>
      </c>
      <c r="AY31" s="42">
        <v>3</v>
      </c>
      <c r="AZ31" s="33"/>
      <c r="BA31" s="30">
        <v>1236.191</v>
      </c>
      <c r="BB31" s="30"/>
      <c r="BC31" s="30"/>
      <c r="BD31" s="30">
        <f>87+72+3+5+1+8+5</f>
        <v>181</v>
      </c>
      <c r="BE31" s="42">
        <v>1</v>
      </c>
      <c r="BF31" s="33"/>
      <c r="BG31" s="30"/>
      <c r="BH31" s="30"/>
      <c r="BI31" s="30">
        <v>87.427000000000007</v>
      </c>
      <c r="BJ31" s="30">
        <f>9+4+1+1</f>
        <v>15</v>
      </c>
      <c r="BK31" s="42">
        <v>4</v>
      </c>
      <c r="BL31" s="33"/>
      <c r="BM31" s="30"/>
      <c r="BN31" s="30">
        <v>387.87299999999999</v>
      </c>
      <c r="BO31" s="30"/>
      <c r="BP31" s="30">
        <f>33+14</f>
        <v>47</v>
      </c>
      <c r="BQ31" s="42" t="s">
        <v>216</v>
      </c>
      <c r="BR31" s="33">
        <v>841.56799999999998</v>
      </c>
      <c r="BS31" s="30"/>
      <c r="BT31" s="30"/>
      <c r="BU31" s="30"/>
      <c r="BV31" s="30">
        <f>65+32+2+4+13+3+2</f>
        <v>121</v>
      </c>
      <c r="BW31" s="42">
        <v>3</v>
      </c>
      <c r="BX31" s="33">
        <v>664.44600000000003</v>
      </c>
      <c r="BY31" s="30"/>
      <c r="BZ31" s="30"/>
      <c r="CA31" s="30"/>
      <c r="CB31" s="30">
        <f>40+23+6+4+3</f>
        <v>76</v>
      </c>
      <c r="CC31" s="42">
        <v>3</v>
      </c>
      <c r="CD31" s="33">
        <f t="shared" si="7"/>
        <v>4789.9599999999991</v>
      </c>
      <c r="CE31" s="30">
        <f t="shared" si="8"/>
        <v>2900.1019999999999</v>
      </c>
      <c r="CF31" s="34">
        <f t="shared" si="9"/>
        <v>1370.3330000000001</v>
      </c>
      <c r="CG31" s="426">
        <f t="shared" si="5"/>
        <v>8459.9920000000002</v>
      </c>
      <c r="CH31" s="21">
        <f>+Cierre!H26</f>
        <v>8460</v>
      </c>
      <c r="CI31" s="17">
        <f t="shared" si="6"/>
        <v>1329</v>
      </c>
      <c r="CJ31" s="22">
        <f>+Cierre!I26</f>
        <v>1329</v>
      </c>
    </row>
    <row r="32" spans="2:91" ht="13" x14ac:dyDescent="0.15">
      <c r="B32" s="63">
        <v>25</v>
      </c>
      <c r="C32" s="433" t="str">
        <f>+Bioacem!C31</f>
        <v>M</v>
      </c>
      <c r="D32" s="291"/>
      <c r="E32" s="489"/>
      <c r="F32" s="489"/>
      <c r="G32" s="489"/>
      <c r="H32" s="30"/>
      <c r="I32" s="34"/>
      <c r="J32" s="437"/>
      <c r="K32" s="30">
        <v>1403.365</v>
      </c>
      <c r="L32" s="30"/>
      <c r="M32" s="30"/>
      <c r="N32" s="30">
        <f>121+78+6+7+5+4+3</f>
        <v>224</v>
      </c>
      <c r="O32" s="42">
        <v>1</v>
      </c>
      <c r="P32" s="33">
        <v>1591.5550000000001</v>
      </c>
      <c r="Q32" s="30"/>
      <c r="R32" s="30"/>
      <c r="S32" s="30"/>
      <c r="T32" s="30">
        <f>69+55+28+6+5+3+1+1</f>
        <v>168</v>
      </c>
      <c r="U32" s="42">
        <v>3</v>
      </c>
      <c r="V32" s="33"/>
      <c r="W32" s="30"/>
      <c r="X32" s="30"/>
      <c r="Y32" s="30"/>
      <c r="Z32" s="30"/>
      <c r="AA32" s="42"/>
      <c r="AB32" s="33"/>
      <c r="AC32" s="30"/>
      <c r="AD32" s="30">
        <v>651.45000000000005</v>
      </c>
      <c r="AE32" s="30"/>
      <c r="AF32" s="30">
        <f>54+31+5+2</f>
        <v>92</v>
      </c>
      <c r="AG32" s="42">
        <v>1</v>
      </c>
      <c r="AH32" s="33">
        <v>1042.9459999999999</v>
      </c>
      <c r="AI32" s="30"/>
      <c r="AJ32" s="30"/>
      <c r="AK32" s="30"/>
      <c r="AL32" s="30">
        <f>122+89+4+4+3+1</f>
        <v>223</v>
      </c>
      <c r="AM32" s="34">
        <v>1</v>
      </c>
      <c r="AN32" s="437"/>
      <c r="AO32" s="30">
        <v>1014.816</v>
      </c>
      <c r="AP32" s="30"/>
      <c r="AQ32" s="30"/>
      <c r="AR32" s="30">
        <f>50+34+7+4+4+3+1</f>
        <v>103</v>
      </c>
      <c r="AS32" s="42">
        <v>3</v>
      </c>
      <c r="AT32" s="33"/>
      <c r="AU32" s="30"/>
      <c r="AV32" s="30">
        <v>398.41300000000001</v>
      </c>
      <c r="AW32" s="30"/>
      <c r="AX32" s="30">
        <f>47+22+3+2+1</f>
        <v>75</v>
      </c>
      <c r="AY32" s="42" t="s">
        <v>216</v>
      </c>
      <c r="AZ32" s="33"/>
      <c r="BA32" s="30">
        <v>942.70299999999997</v>
      </c>
      <c r="BB32" s="30"/>
      <c r="BC32" s="30"/>
      <c r="BD32" s="30">
        <f>89+64+7+5+4+3+2</f>
        <v>174</v>
      </c>
      <c r="BE32" s="42">
        <v>2</v>
      </c>
      <c r="BF32" s="33"/>
      <c r="BG32" s="30"/>
      <c r="BH32" s="30"/>
      <c r="BI32" s="30">
        <v>38.014000000000003</v>
      </c>
      <c r="BJ32" s="30">
        <f>7+1+4</f>
        <v>12</v>
      </c>
      <c r="BK32" s="42">
        <v>4</v>
      </c>
      <c r="BL32" s="33"/>
      <c r="BM32" s="30"/>
      <c r="BN32" s="30">
        <v>884.06</v>
      </c>
      <c r="BO32" s="30"/>
      <c r="BP32" s="30">
        <f>84+23+2+2+1</f>
        <v>112</v>
      </c>
      <c r="BQ32" s="42" t="s">
        <v>216</v>
      </c>
      <c r="BR32" s="33">
        <v>1355.7260000000001</v>
      </c>
      <c r="BS32" s="30"/>
      <c r="BT32" s="30"/>
      <c r="BU32" s="30"/>
      <c r="BV32" s="30">
        <f>168+104+6+5+4+2+2</f>
        <v>291</v>
      </c>
      <c r="BW32" s="42">
        <v>2</v>
      </c>
      <c r="BX32" s="33"/>
      <c r="BY32" s="30"/>
      <c r="BZ32" s="30"/>
      <c r="CA32" s="30"/>
      <c r="CB32" s="30"/>
      <c r="CC32" s="42"/>
      <c r="CD32" s="33">
        <f t="shared" si="7"/>
        <v>2947.2809999999999</v>
      </c>
      <c r="CE32" s="30">
        <f t="shared" si="8"/>
        <v>3360.884</v>
      </c>
      <c r="CF32" s="34">
        <f t="shared" si="9"/>
        <v>2460.1790000000001</v>
      </c>
      <c r="CG32" s="426">
        <f t="shared" si="5"/>
        <v>9323.0479999999989</v>
      </c>
      <c r="CH32" s="21">
        <f>+Cierre!H27</f>
        <v>9323.0500000000011</v>
      </c>
      <c r="CI32" s="17">
        <f t="shared" si="6"/>
        <v>1474</v>
      </c>
      <c r="CJ32" s="22">
        <f>+Cierre!I27</f>
        <v>1474</v>
      </c>
      <c r="CK32" s="60"/>
    </row>
    <row r="33" spans="2:89" ht="13" x14ac:dyDescent="0.15">
      <c r="B33" s="63">
        <v>26</v>
      </c>
      <c r="C33" s="433" t="str">
        <f>+Bioacem!C32</f>
        <v>J</v>
      </c>
      <c r="D33" s="291"/>
      <c r="E33" s="489"/>
      <c r="F33" s="489"/>
      <c r="G33" s="489"/>
      <c r="H33" s="30"/>
      <c r="I33" s="34"/>
      <c r="J33" s="437"/>
      <c r="K33" s="30">
        <v>996.74199999999996</v>
      </c>
      <c r="L33" s="30"/>
      <c r="M33" s="30"/>
      <c r="N33" s="30">
        <f>52+49+9+7+7+2+2</f>
        <v>128</v>
      </c>
      <c r="O33" s="42">
        <v>2</v>
      </c>
      <c r="P33" s="33">
        <v>1254.2619999999999</v>
      </c>
      <c r="Q33" s="30"/>
      <c r="R33" s="30"/>
      <c r="S33" s="30"/>
      <c r="T33" s="30">
        <f>120+68+12+9+7+5+5+2</f>
        <v>228</v>
      </c>
      <c r="U33" s="42">
        <v>2</v>
      </c>
      <c r="V33" s="33"/>
      <c r="W33" s="30"/>
      <c r="X33" s="30"/>
      <c r="Y33" s="30"/>
      <c r="Z33" s="30"/>
      <c r="AA33" s="42"/>
      <c r="AB33" s="33"/>
      <c r="AC33" s="30"/>
      <c r="AD33" s="30"/>
      <c r="AE33" s="30"/>
      <c r="AF33" s="30"/>
      <c r="AG33" s="42"/>
      <c r="AH33" s="33"/>
      <c r="AI33" s="30"/>
      <c r="AJ33" s="30">
        <v>526.25599999999997</v>
      </c>
      <c r="AK33" s="30"/>
      <c r="AL33" s="30">
        <f>47+35+1</f>
        <v>83</v>
      </c>
      <c r="AM33" s="34">
        <v>3</v>
      </c>
      <c r="AN33" s="437"/>
      <c r="AO33" s="30">
        <v>994.07799999999997</v>
      </c>
      <c r="AP33" s="30"/>
      <c r="AQ33" s="30"/>
      <c r="AR33" s="30">
        <f>56+59+5+5+2+1+1</f>
        <v>129</v>
      </c>
      <c r="AS33" s="42">
        <v>1</v>
      </c>
      <c r="AT33" s="33"/>
      <c r="AU33" s="30"/>
      <c r="AV33" s="30">
        <v>1139.3019999999999</v>
      </c>
      <c r="AW33" s="30"/>
      <c r="AX33" s="30">
        <f>59+99+3+8+4+3+1</f>
        <v>177</v>
      </c>
      <c r="AY33" s="42" t="s">
        <v>216</v>
      </c>
      <c r="AZ33" s="33"/>
      <c r="BA33" s="30"/>
      <c r="BB33" s="30">
        <v>266.11099999999999</v>
      </c>
      <c r="BC33" s="30"/>
      <c r="BD33" s="30">
        <f>37+18+4+1</f>
        <v>60</v>
      </c>
      <c r="BE33" s="42" t="s">
        <v>216</v>
      </c>
      <c r="BF33" s="33"/>
      <c r="BG33" s="30"/>
      <c r="BH33" s="30"/>
      <c r="BI33" s="30">
        <f>169.731+108.431</f>
        <v>278.16199999999998</v>
      </c>
      <c r="BJ33" s="30">
        <f>10+17+1+7+6+1</f>
        <v>42</v>
      </c>
      <c r="BK33" s="42">
        <v>4</v>
      </c>
      <c r="BL33" s="33"/>
      <c r="BM33" s="30"/>
      <c r="BN33" s="30">
        <v>476.786</v>
      </c>
      <c r="BO33" s="30"/>
      <c r="BP33" s="30">
        <f>45+20+3+1+1+1</f>
        <v>71</v>
      </c>
      <c r="BQ33" s="42">
        <v>1</v>
      </c>
      <c r="BR33" s="33">
        <v>1244.547</v>
      </c>
      <c r="BS33" s="30"/>
      <c r="BT33" s="30"/>
      <c r="BU33" s="30"/>
      <c r="BV33" s="30">
        <f>97+99+12+6+3+2+1</f>
        <v>220</v>
      </c>
      <c r="BW33" s="42">
        <v>1</v>
      </c>
      <c r="BX33" s="33">
        <v>1030.009</v>
      </c>
      <c r="BY33" s="30"/>
      <c r="BZ33" s="30"/>
      <c r="CA33" s="30"/>
      <c r="CB33" s="30">
        <f>98+73+7+3+1+2+2</f>
        <v>186</v>
      </c>
      <c r="CC33" s="42">
        <v>3</v>
      </c>
      <c r="CD33" s="33">
        <f t="shared" si="7"/>
        <v>3528.8180000000002</v>
      </c>
      <c r="CE33" s="30">
        <f t="shared" si="8"/>
        <v>2850.3729999999996</v>
      </c>
      <c r="CF33" s="34">
        <f t="shared" si="9"/>
        <v>1882.1989999999998</v>
      </c>
      <c r="CG33" s="426">
        <f t="shared" si="5"/>
        <v>8206.2549999999992</v>
      </c>
      <c r="CH33" s="21">
        <f>+Cierre!H28</f>
        <v>8206.27</v>
      </c>
      <c r="CI33" s="17">
        <f t="shared" si="6"/>
        <v>1324</v>
      </c>
      <c r="CJ33" s="22">
        <f>+Cierre!I28</f>
        <v>1324</v>
      </c>
    </row>
    <row r="34" spans="2:89" ht="13" x14ac:dyDescent="0.15">
      <c r="B34" s="63">
        <v>27</v>
      </c>
      <c r="C34" s="433" t="str">
        <f>+Bioacem!C33</f>
        <v>V</v>
      </c>
      <c r="D34" s="291"/>
      <c r="E34" s="490"/>
      <c r="F34" s="489"/>
      <c r="G34" s="489"/>
      <c r="H34" s="30"/>
      <c r="I34" s="34"/>
      <c r="J34" s="437">
        <v>1645.413</v>
      </c>
      <c r="K34" s="30"/>
      <c r="L34" s="30"/>
      <c r="M34" s="30"/>
      <c r="N34" s="30">
        <f>86+52+6+3+1+20+5+2</f>
        <v>175</v>
      </c>
      <c r="O34" s="42">
        <v>3</v>
      </c>
      <c r="P34" s="33"/>
      <c r="Q34" s="30"/>
      <c r="R34" s="30">
        <v>549.37199999999996</v>
      </c>
      <c r="S34" s="30"/>
      <c r="T34" s="30">
        <f>36+40+3+2+1+1+1</f>
        <v>84</v>
      </c>
      <c r="U34" s="42">
        <v>1</v>
      </c>
      <c r="V34" s="33"/>
      <c r="W34" s="30"/>
      <c r="X34" s="30"/>
      <c r="Y34" s="30"/>
      <c r="Z34" s="30"/>
      <c r="AA34" s="42"/>
      <c r="AB34" s="33"/>
      <c r="AC34" s="30">
        <v>1031.922</v>
      </c>
      <c r="AD34" s="30"/>
      <c r="AE34" s="30"/>
      <c r="AF34" s="30">
        <f>87+67+5+4+4+2+1+1+1</f>
        <v>172</v>
      </c>
      <c r="AG34" s="42">
        <v>1</v>
      </c>
      <c r="AH34" s="33"/>
      <c r="AI34" s="30">
        <v>859.553</v>
      </c>
      <c r="AJ34" s="30"/>
      <c r="AK34" s="30"/>
      <c r="AL34" s="30">
        <f>83+58+4+4+4+2+1</f>
        <v>156</v>
      </c>
      <c r="AM34" s="34">
        <v>2</v>
      </c>
      <c r="AN34" s="437">
        <v>1199.1020000000001</v>
      </c>
      <c r="AO34" s="30"/>
      <c r="AP34" s="30"/>
      <c r="AQ34" s="30"/>
      <c r="AR34" s="30">
        <f>131+86+7+6+5+1+1</f>
        <v>237</v>
      </c>
      <c r="AS34" s="42">
        <v>1</v>
      </c>
      <c r="AT34" s="33"/>
      <c r="AU34" s="30"/>
      <c r="AV34" s="30">
        <v>715.14099999999996</v>
      </c>
      <c r="AW34" s="30"/>
      <c r="AX34" s="30">
        <f>56+32+4+2+1</f>
        <v>95</v>
      </c>
      <c r="AY34" s="42">
        <v>1</v>
      </c>
      <c r="AZ34" s="33"/>
      <c r="BA34" s="30"/>
      <c r="BB34" s="30">
        <v>1199.5630000000001</v>
      </c>
      <c r="BC34" s="30"/>
      <c r="BD34" s="30">
        <f>68+85+6+1+3+1</f>
        <v>164</v>
      </c>
      <c r="BE34" s="42" t="s">
        <v>216</v>
      </c>
      <c r="BF34" s="33"/>
      <c r="BG34" s="30"/>
      <c r="BH34" s="30"/>
      <c r="BI34" s="30">
        <v>251.58699999999999</v>
      </c>
      <c r="BJ34" s="30">
        <f>1+13+6+2+2+1</f>
        <v>25</v>
      </c>
      <c r="BK34" s="42">
        <v>4</v>
      </c>
      <c r="BL34" s="33"/>
      <c r="BM34" s="30"/>
      <c r="BN34" s="30"/>
      <c r="BO34" s="30"/>
      <c r="BP34" s="30"/>
      <c r="BQ34" s="42"/>
      <c r="BR34" s="33"/>
      <c r="BS34" s="30">
        <v>1125.7059999999999</v>
      </c>
      <c r="BT34" s="30"/>
      <c r="BU34" s="30"/>
      <c r="BV34" s="30">
        <f>54+48+2+6+6+5+6</f>
        <v>127</v>
      </c>
      <c r="BW34" s="42">
        <v>2</v>
      </c>
      <c r="BX34" s="33">
        <v>1378.8330000000001</v>
      </c>
      <c r="BY34" s="30"/>
      <c r="BZ34" s="30"/>
      <c r="CA34" s="30"/>
      <c r="CB34" s="30">
        <f>117+136+7+6+3+2+1+1</f>
        <v>273</v>
      </c>
      <c r="CC34" s="42">
        <v>2</v>
      </c>
      <c r="CD34" s="33">
        <f t="shared" si="7"/>
        <v>4223.348</v>
      </c>
      <c r="CE34" s="30">
        <f t="shared" si="8"/>
        <v>3102.4009999999998</v>
      </c>
      <c r="CF34" s="34">
        <f t="shared" si="9"/>
        <v>2464.076</v>
      </c>
      <c r="CG34" s="426">
        <f t="shared" si="5"/>
        <v>9956.1919999999991</v>
      </c>
      <c r="CH34" s="21">
        <f>+Cierre!H29</f>
        <v>9956.23</v>
      </c>
      <c r="CI34" s="17">
        <f t="shared" si="6"/>
        <v>1508</v>
      </c>
      <c r="CJ34" s="22">
        <f>+Cierre!I29</f>
        <v>1508</v>
      </c>
    </row>
    <row r="35" spans="2:89" ht="13" x14ac:dyDescent="0.15">
      <c r="B35" s="63">
        <v>28</v>
      </c>
      <c r="C35" s="433" t="str">
        <f>+Bioacem!C34</f>
        <v>S</v>
      </c>
      <c r="D35" s="291"/>
      <c r="E35" s="490"/>
      <c r="F35" s="489"/>
      <c r="G35" s="489"/>
      <c r="H35" s="30"/>
      <c r="I35" s="34"/>
      <c r="J35" s="437">
        <v>1533.712</v>
      </c>
      <c r="K35" s="30"/>
      <c r="L35" s="30"/>
      <c r="M35" s="30"/>
      <c r="N35" s="30">
        <f>113+100+9+5+1+1</f>
        <v>229</v>
      </c>
      <c r="O35" s="42">
        <v>3</v>
      </c>
      <c r="P35" s="33"/>
      <c r="Q35" s="30"/>
      <c r="R35" s="30">
        <v>754.05899999999997</v>
      </c>
      <c r="S35" s="30"/>
      <c r="T35" s="30">
        <f>64+39+4+2+1+1</f>
        <v>111</v>
      </c>
      <c r="U35" s="42">
        <v>1</v>
      </c>
      <c r="V35" s="33"/>
      <c r="W35" s="30"/>
      <c r="X35" s="30"/>
      <c r="Y35" s="30"/>
      <c r="Z35" s="30"/>
      <c r="AA35" s="42"/>
      <c r="AB35" s="33"/>
      <c r="AC35" s="30">
        <v>1248.4860000000001</v>
      </c>
      <c r="AD35" s="30"/>
      <c r="AE35" s="30"/>
      <c r="AF35" s="30">
        <f>128+107+4+2+3+1</f>
        <v>245</v>
      </c>
      <c r="AG35" s="42">
        <v>1</v>
      </c>
      <c r="AH35" s="33"/>
      <c r="AI35" s="30">
        <v>944.77300000000002</v>
      </c>
      <c r="AJ35" s="30"/>
      <c r="AK35" s="30"/>
      <c r="AL35" s="30">
        <f>117+77+2+1</f>
        <v>197</v>
      </c>
      <c r="AM35" s="34">
        <v>2</v>
      </c>
      <c r="AN35" s="437"/>
      <c r="AO35" s="30"/>
      <c r="AP35" s="30"/>
      <c r="AQ35" s="30"/>
      <c r="AR35" s="30"/>
      <c r="AS35" s="42"/>
      <c r="AT35" s="33">
        <v>1510.5709999999999</v>
      </c>
      <c r="AU35" s="30"/>
      <c r="AV35" s="30"/>
      <c r="AW35" s="30"/>
      <c r="AX35" s="30">
        <f>139+132+4+3+3+3+2+2+1</f>
        <v>289</v>
      </c>
      <c r="AY35" s="42">
        <v>2</v>
      </c>
      <c r="AZ35" s="33"/>
      <c r="BA35" s="30"/>
      <c r="BB35" s="30">
        <v>402.30700000000002</v>
      </c>
      <c r="BC35" s="30"/>
      <c r="BD35" s="30">
        <f>42+25+2+1</f>
        <v>70</v>
      </c>
      <c r="BE35" s="42">
        <v>1</v>
      </c>
      <c r="BF35" s="33"/>
      <c r="BG35" s="30"/>
      <c r="BH35" s="30"/>
      <c r="BI35" s="30">
        <v>417.80500000000001</v>
      </c>
      <c r="BJ35" s="30">
        <f>36+17+3+2+1+4+1</f>
        <v>64</v>
      </c>
      <c r="BK35" s="42">
        <v>4</v>
      </c>
      <c r="BL35" s="33">
        <v>1574.684</v>
      </c>
      <c r="BM35" s="30"/>
      <c r="BN35" s="30"/>
      <c r="BO35" s="30"/>
      <c r="BP35" s="30">
        <f>231+59+3+1</f>
        <v>294</v>
      </c>
      <c r="BQ35" s="42">
        <v>1</v>
      </c>
      <c r="BR35" s="33"/>
      <c r="BS35" s="30">
        <v>1173.9090000000001</v>
      </c>
      <c r="BT35" s="30"/>
      <c r="BU35" s="30"/>
      <c r="BV35" s="30">
        <f>86+60+7+3+2+1+1</f>
        <v>160</v>
      </c>
      <c r="BW35" s="42">
        <v>3</v>
      </c>
      <c r="BX35" s="33"/>
      <c r="BY35" s="30"/>
      <c r="BZ35" s="30">
        <v>399.22899999999998</v>
      </c>
      <c r="CA35" s="30"/>
      <c r="CB35" s="30">
        <f>51+38+1</f>
        <v>90</v>
      </c>
      <c r="CC35" s="42" t="s">
        <v>216</v>
      </c>
      <c r="CD35" s="33">
        <f t="shared" si="7"/>
        <v>4618.9670000000006</v>
      </c>
      <c r="CE35" s="30">
        <f t="shared" si="8"/>
        <v>2422.3950000000004</v>
      </c>
      <c r="CF35" s="34">
        <f t="shared" si="9"/>
        <v>1555.595</v>
      </c>
      <c r="CG35" s="426">
        <f t="shared" si="5"/>
        <v>9959.5349999999999</v>
      </c>
      <c r="CH35" s="21">
        <f>+Cierre!H30</f>
        <v>9959.5399999999991</v>
      </c>
      <c r="CI35" s="17">
        <f t="shared" si="6"/>
        <v>1749</v>
      </c>
      <c r="CJ35" s="22">
        <f>+Cierre!I30</f>
        <v>1749</v>
      </c>
    </row>
    <row r="36" spans="2:89" ht="13" x14ac:dyDescent="0.15">
      <c r="B36" s="63">
        <v>29</v>
      </c>
      <c r="C36" s="433" t="str">
        <f>+Bioacem!C35</f>
        <v>D</v>
      </c>
      <c r="D36" s="291"/>
      <c r="E36" s="489"/>
      <c r="F36" s="489"/>
      <c r="G36" s="489"/>
      <c r="H36" s="30"/>
      <c r="I36" s="34"/>
      <c r="J36" s="437"/>
      <c r="K36" s="30"/>
      <c r="L36" s="30"/>
      <c r="M36" s="30"/>
      <c r="N36" s="30"/>
      <c r="O36" s="42"/>
      <c r="P36" s="33"/>
      <c r="Q36" s="30"/>
      <c r="R36" s="30"/>
      <c r="S36" s="30"/>
      <c r="T36" s="30"/>
      <c r="U36" s="42"/>
      <c r="V36" s="33"/>
      <c r="W36" s="30"/>
      <c r="X36" s="30"/>
      <c r="Y36" s="30"/>
      <c r="Z36" s="30"/>
      <c r="AA36" s="42"/>
      <c r="AB36" s="33"/>
      <c r="AC36" s="30"/>
      <c r="AD36" s="30"/>
      <c r="AE36" s="30"/>
      <c r="AF36" s="30"/>
      <c r="AG36" s="42"/>
      <c r="AH36" s="33"/>
      <c r="AI36" s="30"/>
      <c r="AJ36" s="30"/>
      <c r="AK36" s="30"/>
      <c r="AL36" s="30"/>
      <c r="AM36" s="34"/>
      <c r="AN36" s="437"/>
      <c r="AO36" s="30"/>
      <c r="AP36" s="30"/>
      <c r="AQ36" s="30"/>
      <c r="AR36" s="30"/>
      <c r="AS36" s="42"/>
      <c r="AT36" s="33"/>
      <c r="AU36" s="30"/>
      <c r="AV36" s="30"/>
      <c r="AW36" s="30"/>
      <c r="AX36" s="30"/>
      <c r="AY36" s="42"/>
      <c r="AZ36" s="33"/>
      <c r="BA36" s="30"/>
      <c r="BB36" s="30"/>
      <c r="BC36" s="30"/>
      <c r="BD36" s="30"/>
      <c r="BE36" s="42"/>
      <c r="BF36" s="33"/>
      <c r="BG36" s="30"/>
      <c r="BH36" s="30"/>
      <c r="BI36" s="30"/>
      <c r="BJ36" s="30"/>
      <c r="BK36" s="42"/>
      <c r="BL36" s="33"/>
      <c r="BM36" s="30"/>
      <c r="BN36" s="30"/>
      <c r="BO36" s="30"/>
      <c r="BP36" s="30"/>
      <c r="BQ36" s="42"/>
      <c r="BR36" s="33"/>
      <c r="BS36" s="30"/>
      <c r="BT36" s="30"/>
      <c r="BU36" s="30"/>
      <c r="BV36" s="30"/>
      <c r="BW36" s="42"/>
      <c r="BX36" s="33"/>
      <c r="BY36" s="30"/>
      <c r="BZ36" s="30"/>
      <c r="CA36" s="30"/>
      <c r="CB36" s="30"/>
      <c r="CC36" s="42"/>
      <c r="CD36" s="33">
        <f t="shared" si="7"/>
        <v>0</v>
      </c>
      <c r="CE36" s="30">
        <f t="shared" si="8"/>
        <v>0</v>
      </c>
      <c r="CF36" s="34">
        <f t="shared" si="9"/>
        <v>0</v>
      </c>
      <c r="CG36" s="426">
        <f t="shared" si="5"/>
        <v>0</v>
      </c>
      <c r="CH36" s="21">
        <f>+Cierre!H31</f>
        <v>0</v>
      </c>
      <c r="CI36" s="17">
        <f t="shared" si="6"/>
        <v>0</v>
      </c>
      <c r="CJ36" s="22">
        <f>+Cierre!I31</f>
        <v>0</v>
      </c>
    </row>
    <row r="37" spans="2:89" ht="13" x14ac:dyDescent="0.15">
      <c r="B37" s="63">
        <v>30</v>
      </c>
      <c r="C37" s="433" t="str">
        <f>+Bioacem!C36</f>
        <v>L</v>
      </c>
      <c r="D37" s="491"/>
      <c r="E37" s="492"/>
      <c r="F37" s="492"/>
      <c r="G37" s="492"/>
      <c r="H37" s="260"/>
      <c r="I37" s="445"/>
      <c r="J37" s="438"/>
      <c r="K37" s="260"/>
      <c r="L37" s="260"/>
      <c r="M37" s="260"/>
      <c r="N37" s="260"/>
      <c r="O37" s="258"/>
      <c r="P37" s="259"/>
      <c r="Q37" s="260"/>
      <c r="R37" s="260"/>
      <c r="S37" s="260"/>
      <c r="T37" s="260"/>
      <c r="U37" s="258"/>
      <c r="V37" s="259"/>
      <c r="W37" s="260"/>
      <c r="X37" s="260"/>
      <c r="Y37" s="260"/>
      <c r="Z37" s="260"/>
      <c r="AA37" s="258"/>
      <c r="AB37" s="259"/>
      <c r="AC37" s="260"/>
      <c r="AD37" s="260"/>
      <c r="AE37" s="260"/>
      <c r="AF37" s="260"/>
      <c r="AG37" s="258"/>
      <c r="AH37" s="259"/>
      <c r="AI37" s="260"/>
      <c r="AJ37" s="260"/>
      <c r="AK37" s="260"/>
      <c r="AL37" s="260"/>
      <c r="AM37" s="445"/>
      <c r="AN37" s="438"/>
      <c r="AO37" s="260"/>
      <c r="AP37" s="260"/>
      <c r="AQ37" s="260"/>
      <c r="AR37" s="260"/>
      <c r="AS37" s="258"/>
      <c r="AT37" s="259"/>
      <c r="AU37" s="260"/>
      <c r="AV37" s="260"/>
      <c r="AW37" s="260"/>
      <c r="AX37" s="260"/>
      <c r="AY37" s="258"/>
      <c r="AZ37" s="259"/>
      <c r="BA37" s="260"/>
      <c r="BB37" s="260"/>
      <c r="BC37" s="260"/>
      <c r="BD37" s="260"/>
      <c r="BE37" s="258"/>
      <c r="BF37" s="259"/>
      <c r="BG37" s="260"/>
      <c r="BH37" s="260"/>
      <c r="BI37" s="260"/>
      <c r="BJ37" s="260"/>
      <c r="BK37" s="258"/>
      <c r="BL37" s="259"/>
      <c r="BM37" s="260"/>
      <c r="BN37" s="260"/>
      <c r="BO37" s="260"/>
      <c r="BP37" s="260"/>
      <c r="BQ37" s="258"/>
      <c r="BR37" s="259"/>
      <c r="BS37" s="260"/>
      <c r="BT37" s="260"/>
      <c r="BU37" s="260"/>
      <c r="BV37" s="260"/>
      <c r="BW37" s="258"/>
      <c r="BX37" s="259"/>
      <c r="BY37" s="260"/>
      <c r="BZ37" s="260"/>
      <c r="CA37" s="260"/>
      <c r="CB37" s="260"/>
      <c r="CC37" s="258"/>
      <c r="CD37" s="33">
        <f t="shared" si="7"/>
        <v>0</v>
      </c>
      <c r="CE37" s="30">
        <f t="shared" si="8"/>
        <v>0</v>
      </c>
      <c r="CF37" s="34">
        <f t="shared" si="9"/>
        <v>0</v>
      </c>
      <c r="CG37" s="426">
        <f t="shared" si="5"/>
        <v>0</v>
      </c>
      <c r="CH37" s="21">
        <f>+Cierre!H32</f>
        <v>0</v>
      </c>
      <c r="CI37" s="17">
        <f t="shared" si="6"/>
        <v>0</v>
      </c>
      <c r="CJ37" s="22">
        <f>+Cierre!I32</f>
        <v>0</v>
      </c>
    </row>
    <row r="38" spans="2:89" ht="14" thickBot="1" x14ac:dyDescent="0.2">
      <c r="B38" s="64">
        <v>31</v>
      </c>
      <c r="C38" s="435" t="str">
        <f>+Bioacem!C37</f>
        <v>M</v>
      </c>
      <c r="D38" s="493"/>
      <c r="E38" s="494"/>
      <c r="F38" s="494"/>
      <c r="G38" s="494"/>
      <c r="H38" s="262"/>
      <c r="I38" s="446"/>
      <c r="J38" s="439"/>
      <c r="K38" s="262"/>
      <c r="L38" s="262"/>
      <c r="M38" s="262"/>
      <c r="N38" s="262"/>
      <c r="O38" s="416"/>
      <c r="P38" s="261"/>
      <c r="Q38" s="262"/>
      <c r="R38" s="262"/>
      <c r="S38" s="262"/>
      <c r="T38" s="262"/>
      <c r="U38" s="416"/>
      <c r="V38" s="261"/>
      <c r="W38" s="262"/>
      <c r="X38" s="262"/>
      <c r="Y38" s="262"/>
      <c r="Z38" s="262"/>
      <c r="AA38" s="416"/>
      <c r="AB38" s="261"/>
      <c r="AC38" s="262"/>
      <c r="AD38" s="262"/>
      <c r="AE38" s="262"/>
      <c r="AF38" s="262"/>
      <c r="AG38" s="416"/>
      <c r="AH38" s="261"/>
      <c r="AI38" s="262"/>
      <c r="AJ38" s="262"/>
      <c r="AK38" s="262"/>
      <c r="AL38" s="262"/>
      <c r="AM38" s="446"/>
      <c r="AN38" s="439"/>
      <c r="AO38" s="262"/>
      <c r="AP38" s="262"/>
      <c r="AQ38" s="262"/>
      <c r="AR38" s="262"/>
      <c r="AS38" s="416"/>
      <c r="AT38" s="261"/>
      <c r="AU38" s="262"/>
      <c r="AV38" s="262"/>
      <c r="AW38" s="262"/>
      <c r="AX38" s="262"/>
      <c r="AY38" s="416"/>
      <c r="AZ38" s="261"/>
      <c r="BA38" s="262"/>
      <c r="BB38" s="262"/>
      <c r="BC38" s="262"/>
      <c r="BD38" s="262"/>
      <c r="BE38" s="416"/>
      <c r="BF38" s="261"/>
      <c r="BG38" s="262"/>
      <c r="BH38" s="262"/>
      <c r="BI38" s="262"/>
      <c r="BJ38" s="262"/>
      <c r="BK38" s="416"/>
      <c r="BL38" s="261"/>
      <c r="BM38" s="262"/>
      <c r="BN38" s="262"/>
      <c r="BO38" s="262"/>
      <c r="BP38" s="262"/>
      <c r="BQ38" s="416"/>
      <c r="BR38" s="261"/>
      <c r="BS38" s="262"/>
      <c r="BT38" s="262"/>
      <c r="BU38" s="262"/>
      <c r="BV38" s="262"/>
      <c r="BW38" s="416"/>
      <c r="BX38" s="261"/>
      <c r="BY38" s="262"/>
      <c r="BZ38" s="262"/>
      <c r="CA38" s="262"/>
      <c r="CB38" s="262"/>
      <c r="CC38" s="416"/>
      <c r="CD38" s="35">
        <f t="shared" si="7"/>
        <v>9199.130000000001</v>
      </c>
      <c r="CE38" s="36">
        <f t="shared" si="8"/>
        <v>5365.5680000000002</v>
      </c>
      <c r="CF38" s="37">
        <f t="shared" si="9"/>
        <v>6355.7170000000006</v>
      </c>
      <c r="CG38" s="427">
        <f t="shared" si="5"/>
        <v>0</v>
      </c>
      <c r="CH38" s="176">
        <f>+Cierre!H33</f>
        <v>0</v>
      </c>
      <c r="CI38" s="20">
        <f t="shared" si="6"/>
        <v>0</v>
      </c>
      <c r="CJ38" s="177">
        <f>+Cierre!I33</f>
        <v>0</v>
      </c>
    </row>
    <row r="39" spans="2:89" ht="14" thickBot="1" x14ac:dyDescent="0.2">
      <c r="B39" s="7"/>
      <c r="C39" s="43"/>
      <c r="D39" s="443">
        <f>SUM(D8:D38)</f>
        <v>6634.7160000000003</v>
      </c>
      <c r="E39" s="444">
        <f t="shared" ref="E39:K39" si="10">SUM(E8:E38)</f>
        <v>1665.704</v>
      </c>
      <c r="F39" s="519">
        <v>2692.1</v>
      </c>
      <c r="G39" s="519">
        <f>SUM(G8:G38)</f>
        <v>0</v>
      </c>
      <c r="H39" s="413">
        <f t="shared" si="10"/>
        <v>1906</v>
      </c>
      <c r="I39" s="38"/>
      <c r="J39" s="368">
        <f t="shared" si="10"/>
        <v>9887.4269999999997</v>
      </c>
      <c r="K39" s="369">
        <f t="shared" si="10"/>
        <v>5442.5159999999996</v>
      </c>
      <c r="L39" s="369">
        <f>SUM(L8:L38)</f>
        <v>2944.4960000000001</v>
      </c>
      <c r="M39" s="519">
        <f>SUM(M8:M38)</f>
        <v>638.64599999999996</v>
      </c>
      <c r="N39" s="370">
        <f t="shared" ref="N39:BV39" si="11">SUM(N8:N38)</f>
        <v>2791</v>
      </c>
      <c r="O39" s="414"/>
      <c r="P39" s="530">
        <f t="shared" si="11"/>
        <v>9635.3570000000018</v>
      </c>
      <c r="Q39" s="531">
        <f>SUM(Q8:Q38)</f>
        <v>8052.7340000000004</v>
      </c>
      <c r="R39" s="531">
        <f>SUM(R8:R38)</f>
        <v>3595.4389999999994</v>
      </c>
      <c r="S39" s="532">
        <f>SUM(S8:S38)</f>
        <v>231.87100000000001</v>
      </c>
      <c r="T39" s="533">
        <f t="shared" si="11"/>
        <v>3590</v>
      </c>
      <c r="U39" s="534"/>
      <c r="V39" s="530">
        <f>SUM(V8:V38)</f>
        <v>13892.698</v>
      </c>
      <c r="W39" s="531">
        <f>SUM(W8:W38)</f>
        <v>6257.8840000000009</v>
      </c>
      <c r="X39" s="531">
        <f t="shared" si="11"/>
        <v>1790.75</v>
      </c>
      <c r="Y39" s="532">
        <f>SUM(Y8:Y38)</f>
        <v>0</v>
      </c>
      <c r="Z39" s="533">
        <f t="shared" si="11"/>
        <v>3430</v>
      </c>
      <c r="AA39" s="414"/>
      <c r="AB39" s="368">
        <f t="shared" si="11"/>
        <v>5892.924</v>
      </c>
      <c r="AC39" s="369">
        <f>SUM(AC8:AC38)</f>
        <v>7618.8560000000007</v>
      </c>
      <c r="AD39" s="369">
        <f t="shared" si="11"/>
        <v>5251.6670000000004</v>
      </c>
      <c r="AE39" s="519">
        <f>SUM(AE8:AE38)</f>
        <v>0</v>
      </c>
      <c r="AF39" s="370">
        <f t="shared" si="11"/>
        <v>3203</v>
      </c>
      <c r="AG39" s="414"/>
      <c r="AH39" s="368">
        <f t="shared" si="11"/>
        <v>9199.130000000001</v>
      </c>
      <c r="AI39" s="369">
        <f>SUM(AI8:AI38)</f>
        <v>5365.5680000000002</v>
      </c>
      <c r="AJ39" s="369">
        <f t="shared" si="11"/>
        <v>6355.7170000000006</v>
      </c>
      <c r="AK39" s="519">
        <f>SUM(AK8:AK38)</f>
        <v>773.56500000000005</v>
      </c>
      <c r="AL39" s="370">
        <f t="shared" si="11"/>
        <v>3774</v>
      </c>
      <c r="AM39" s="414"/>
      <c r="AN39" s="368">
        <f>SUM(AN8:AN38)</f>
        <v>10313.02</v>
      </c>
      <c r="AO39" s="369">
        <f>SUM(AO8:AO38)</f>
        <v>6437.7060000000001</v>
      </c>
      <c r="AP39" s="369">
        <f t="shared" si="11"/>
        <v>1965.952</v>
      </c>
      <c r="AQ39" s="519">
        <f>SUM(AQ8:AQ38)</f>
        <v>0</v>
      </c>
      <c r="AR39" s="370">
        <f t="shared" si="11"/>
        <v>2497</v>
      </c>
      <c r="AS39" s="414"/>
      <c r="AT39" s="368">
        <f t="shared" si="11"/>
        <v>4758.1239999999998</v>
      </c>
      <c r="AU39" s="369">
        <f t="shared" si="11"/>
        <v>7006.7030000000004</v>
      </c>
      <c r="AV39" s="369">
        <f>SUM(AV8:AV38)</f>
        <v>5021.5839999999998</v>
      </c>
      <c r="AW39" s="519">
        <f>SUM(AW8:AW38)</f>
        <v>157.86500000000001</v>
      </c>
      <c r="AX39" s="418">
        <f t="shared" si="11"/>
        <v>2753</v>
      </c>
      <c r="AY39" s="420"/>
      <c r="AZ39" s="368">
        <f t="shared" si="11"/>
        <v>7737.9220000000005</v>
      </c>
      <c r="BA39" s="369">
        <f t="shared" si="11"/>
        <v>3973.2999999999997</v>
      </c>
      <c r="BB39" s="369">
        <f t="shared" si="11"/>
        <v>5502.186999999999</v>
      </c>
      <c r="BC39" s="519">
        <f>SUM(BC8:BC38)</f>
        <v>437.42500000000001</v>
      </c>
      <c r="BD39" s="370">
        <f t="shared" si="11"/>
        <v>2912</v>
      </c>
      <c r="BE39" s="414"/>
      <c r="BF39" s="368">
        <f t="shared" si="11"/>
        <v>0</v>
      </c>
      <c r="BG39" s="369">
        <f t="shared" si="11"/>
        <v>0</v>
      </c>
      <c r="BH39" s="369">
        <f t="shared" si="11"/>
        <v>0</v>
      </c>
      <c r="BI39" s="519">
        <f>SUM(BI8:BI38)</f>
        <v>2257.6909999999998</v>
      </c>
      <c r="BJ39" s="370">
        <f t="shared" si="11"/>
        <v>344</v>
      </c>
      <c r="BK39" s="414"/>
      <c r="BL39" s="368">
        <f t="shared" si="11"/>
        <v>9381.9940000000006</v>
      </c>
      <c r="BM39" s="369">
        <f t="shared" si="11"/>
        <v>5776.6339999999991</v>
      </c>
      <c r="BN39" s="369">
        <f t="shared" si="11"/>
        <v>4529.442</v>
      </c>
      <c r="BO39" s="519">
        <f>SUM(BO8:BO38)</f>
        <v>1027.9289999999999</v>
      </c>
      <c r="BP39" s="370">
        <f t="shared" si="11"/>
        <v>3134</v>
      </c>
      <c r="BQ39" s="414"/>
      <c r="BR39" s="368">
        <f t="shared" si="11"/>
        <v>10372.825999999999</v>
      </c>
      <c r="BS39" s="369">
        <f t="shared" si="11"/>
        <v>7135.1309999999994</v>
      </c>
      <c r="BT39" s="369">
        <f t="shared" si="11"/>
        <v>7092.0749999999998</v>
      </c>
      <c r="BU39" s="519">
        <f>SUM(BU8:BU38)</f>
        <v>1132.6079999999999</v>
      </c>
      <c r="BV39" s="370">
        <f t="shared" si="11"/>
        <v>4079</v>
      </c>
      <c r="BW39" s="38"/>
      <c r="BX39" s="368">
        <f t="shared" ref="BX39:BZ39" si="12">SUM(BX8:BX38)</f>
        <v>11107.205000000002</v>
      </c>
      <c r="BY39" s="369">
        <f t="shared" si="12"/>
        <v>4942.7669999999998</v>
      </c>
      <c r="BZ39" s="369">
        <f t="shared" si="12"/>
        <v>3421.06</v>
      </c>
      <c r="CA39" s="519">
        <f>SUM(CA8:CA38)</f>
        <v>1913.769</v>
      </c>
      <c r="CB39" s="370">
        <f t="shared" ref="CB39" si="13">SUM(CB8:CB38)</f>
        <v>3630</v>
      </c>
      <c r="CC39" s="38"/>
      <c r="CD39" s="38">
        <f>SUM(CD8:CD38)</f>
        <v>116719.539</v>
      </c>
      <c r="CE39" s="38">
        <f>SUM(CE8:CE38)</f>
        <v>75041.071000000011</v>
      </c>
      <c r="CF39" s="38">
        <f>SUM(CF8:CF38)</f>
        <v>58006.701000000001</v>
      </c>
      <c r="CG39" s="428">
        <f>SUM(CG8:CG38)</f>
        <v>238711.19900000005</v>
      </c>
      <c r="CH39" s="39"/>
      <c r="CI39" s="173">
        <f>SUM(CI8:CI38)</f>
        <v>38043</v>
      </c>
      <c r="CJ39" s="39"/>
      <c r="CK39" s="6"/>
    </row>
    <row r="40" spans="2:89" ht="14" thickBot="1" x14ac:dyDescent="0.2">
      <c r="B40" s="566" t="s">
        <v>17</v>
      </c>
      <c r="C40" s="567"/>
      <c r="D40" s="80">
        <f>IFERROR(AVERAGE(D8:D38),0)</f>
        <v>947.81657142857148</v>
      </c>
      <c r="E40" s="81">
        <f>IFERROR(AVERAGE(E8:E38),0)</f>
        <v>555.23466666666661</v>
      </c>
      <c r="F40" s="81">
        <f>IFERROR(AVERAGE(F8:F38),0)</f>
        <v>522.57687499999997</v>
      </c>
      <c r="G40" s="81">
        <f>IFERROR(AVERAGE(G8:G38),0)</f>
        <v>0</v>
      </c>
      <c r="H40" s="49">
        <f t="shared" ref="H40" si="14">AVERAGE(H8:H38)</f>
        <v>105.88888888888889</v>
      </c>
      <c r="I40" s="411"/>
      <c r="J40" s="80">
        <f>IFERROR(AVERAGE(J8:J38),0)</f>
        <v>1098.6030000000001</v>
      </c>
      <c r="K40" s="81">
        <f>IFERROR(AVERAGE(K8:K38),0)</f>
        <v>1088.5031999999999</v>
      </c>
      <c r="L40" s="81">
        <f>IFERROR(AVERAGE(L8:L38),0)</f>
        <v>588.89920000000006</v>
      </c>
      <c r="M40" s="81">
        <f>IFERROR(AVERAGE(M8:M38),0)</f>
        <v>212.88199999999998</v>
      </c>
      <c r="N40" s="49">
        <f t="shared" ref="N40:BV40" si="15">AVERAGE(N8:N38)</f>
        <v>126.86363636363636</v>
      </c>
      <c r="O40" s="411"/>
      <c r="P40" s="80">
        <f>IFERROR(AVERAGE(P8:P38),0)</f>
        <v>1070.5952222222224</v>
      </c>
      <c r="Q40" s="81">
        <f>IFERROR(AVERAGE(Q8:Q38),0)</f>
        <v>894.74822222222224</v>
      </c>
      <c r="R40" s="81">
        <f>IFERROR(AVERAGE(R8:R38),0)</f>
        <v>719.0877999999999</v>
      </c>
      <c r="S40" s="81">
        <f>IFERROR(AVERAGE(S8:S38),0)</f>
        <v>231.87100000000001</v>
      </c>
      <c r="T40" s="49">
        <f t="shared" si="15"/>
        <v>149.58333333333334</v>
      </c>
      <c r="U40" s="535"/>
      <c r="V40" s="80">
        <f>IFERROR(AVERAGE(V8:V38),0)</f>
        <v>1157.7248333333334</v>
      </c>
      <c r="W40" s="81">
        <f>IFERROR(AVERAGE(W8:W38),0)</f>
        <v>893.9834285714287</v>
      </c>
      <c r="X40" s="81">
        <f>IFERROR(AVERAGE(X8:X38),0)</f>
        <v>596.91666666666663</v>
      </c>
      <c r="Y40" s="81">
        <f>IFERROR(AVERAGE(Y8:Y38),0)</f>
        <v>0</v>
      </c>
      <c r="Z40" s="49">
        <f t="shared" si="15"/>
        <v>155.90909090909091</v>
      </c>
      <c r="AA40" s="411"/>
      <c r="AB40" s="80">
        <f>IFERROR(AVERAGE(AB8:AB38),0)</f>
        <v>1178.5848000000001</v>
      </c>
      <c r="AC40" s="81">
        <f>IFERROR(AVERAGE(AC8:AC38),0)</f>
        <v>846.53955555555558</v>
      </c>
      <c r="AD40" s="81">
        <f>IFERROR(AVERAGE(AD8:AD38),0)</f>
        <v>656.45837500000005</v>
      </c>
      <c r="AE40" s="81">
        <f>IFERROR(AVERAGE(AE8:AE38),0)</f>
        <v>0</v>
      </c>
      <c r="AF40" s="49">
        <f t="shared" si="15"/>
        <v>145.59090909090909</v>
      </c>
      <c r="AG40" s="411"/>
      <c r="AH40" s="80">
        <f>IFERROR(AVERAGE(AH8:AH38),0)</f>
        <v>1149.8912500000001</v>
      </c>
      <c r="AI40" s="81">
        <f>IFERROR(AVERAGE(AI8:AI38),0)</f>
        <v>894.26133333333337</v>
      </c>
      <c r="AJ40" s="81">
        <f>IFERROR(AVERAGE(AJ8:AJ38),0)</f>
        <v>577.79245454545458</v>
      </c>
      <c r="AK40" s="81">
        <f>IFERROR(AVERAGE(AK8:AK38),0)</f>
        <v>386.78250000000003</v>
      </c>
      <c r="AL40" s="49">
        <f t="shared" si="15"/>
        <v>139.77777777777777</v>
      </c>
      <c r="AM40" s="411"/>
      <c r="AN40" s="80">
        <f>IFERROR(AVERAGE(AN8:AN38),0)</f>
        <v>1145.8911111111111</v>
      </c>
      <c r="AO40" s="81">
        <f>IFERROR(AVERAGE(AO8:AO38),0)</f>
        <v>919.67228571428575</v>
      </c>
      <c r="AP40" s="81">
        <f>IFERROR(AVERAGE(AP8:AP38),0)</f>
        <v>655.31733333333329</v>
      </c>
      <c r="AQ40" s="81">
        <f>IFERROR(AVERAGE(AQ8:AQ38),0)</f>
        <v>0</v>
      </c>
      <c r="AR40" s="49">
        <f t="shared" si="15"/>
        <v>131.42105263157896</v>
      </c>
      <c r="AS40" s="50"/>
      <c r="AT40" s="80">
        <f>IFERROR(AVERAGE(AT8:AT38),0)</f>
        <v>1189.5309999999999</v>
      </c>
      <c r="AU40" s="81">
        <f>IFERROR(AVERAGE(AU8:AU38),0)</f>
        <v>875.83787500000005</v>
      </c>
      <c r="AV40" s="81">
        <f>IFERROR(AVERAGE(AV8:AV38),0)</f>
        <v>627.69799999999998</v>
      </c>
      <c r="AW40" s="81">
        <f>IFERROR(AVERAGE(AW8:AW38),0)</f>
        <v>157.86500000000001</v>
      </c>
      <c r="AX40" s="49">
        <f t="shared" si="15"/>
        <v>131.0952380952381</v>
      </c>
      <c r="AY40" s="421"/>
      <c r="AZ40" s="80">
        <f>IFERROR(AVERAGE(AZ8:AZ38),0)</f>
        <v>1105.4174285714287</v>
      </c>
      <c r="BA40" s="81">
        <f>IFERROR(AVERAGE(BA8:BA38),0)</f>
        <v>993.32499999999993</v>
      </c>
      <c r="BB40" s="81">
        <f>IFERROR(AVERAGE(BB8:BB38),0)</f>
        <v>687.77337499999987</v>
      </c>
      <c r="BC40" s="81">
        <f>IFERROR(AVERAGE(BC8:BC38),0)</f>
        <v>145.80833333333334</v>
      </c>
      <c r="BD40" s="49">
        <f t="shared" si="15"/>
        <v>132.36363636363637</v>
      </c>
      <c r="BE40" s="411"/>
      <c r="BF40" s="80">
        <f>IFERROR(AVERAGE(BF8:BF38),0)</f>
        <v>0</v>
      </c>
      <c r="BG40" s="81">
        <f>IFERROR(AVERAGE(BG8:BG38),0)</f>
        <v>0</v>
      </c>
      <c r="BH40" s="81">
        <f>IFERROR(AVERAGE(BH8:BH38),0)</f>
        <v>0</v>
      </c>
      <c r="BI40" s="81">
        <f>IFERROR(AVERAGE(BI8:BI38),0)</f>
        <v>132.80535294117647</v>
      </c>
      <c r="BJ40" s="49">
        <f t="shared" si="15"/>
        <v>20.235294117647058</v>
      </c>
      <c r="BK40" s="411"/>
      <c r="BL40" s="80">
        <f>IFERROR(AVERAGE(BL8:BL38),0)</f>
        <v>1042.4437777777778</v>
      </c>
      <c r="BM40" s="81">
        <f>IFERROR(AVERAGE(BM8:BM38),0)</f>
        <v>825.23342857142848</v>
      </c>
      <c r="BN40" s="81">
        <f>IFERROR(AVERAGE(BN8:BN38),0)</f>
        <v>566.18025</v>
      </c>
      <c r="BO40" s="81">
        <f>IFERROR(AVERAGE(BO8:BO38),0)</f>
        <v>513.96449999999993</v>
      </c>
      <c r="BP40" s="49">
        <f t="shared" si="15"/>
        <v>120.53846153846153</v>
      </c>
      <c r="BQ40" s="411"/>
      <c r="BR40" s="80">
        <f>IFERROR(AVERAGE(BR8:BR38),0)</f>
        <v>1037.2826</v>
      </c>
      <c r="BS40" s="81">
        <f>IFERROR(AVERAGE(BS8:BS38),0)</f>
        <v>1019.3044285714285</v>
      </c>
      <c r="BT40" s="81">
        <f>IFERROR(AVERAGE(BT8:BT38),0)</f>
        <v>709.20749999999998</v>
      </c>
      <c r="BU40" s="81">
        <f>IFERROR(AVERAGE(BU8:BU38),0)</f>
        <v>1132.6079999999999</v>
      </c>
      <c r="BV40" s="49">
        <f t="shared" si="15"/>
        <v>145.67857142857142</v>
      </c>
      <c r="BW40" s="423"/>
      <c r="BX40" s="80">
        <f>IFERROR(AVERAGE(BX8:BX38),0)</f>
        <v>1110.7205000000001</v>
      </c>
      <c r="BY40" s="81">
        <f>IFERROR(AVERAGE(BY8:BY38),0)</f>
        <v>823.79449999999997</v>
      </c>
      <c r="BZ40" s="81">
        <f>IFERROR(AVERAGE(BZ8:BZ38),0)</f>
        <v>488.72285714285715</v>
      </c>
      <c r="CA40" s="81">
        <f>IFERROR(AVERAGE(CA8:CA38),0)</f>
        <v>637.923</v>
      </c>
      <c r="CB40" s="49">
        <f t="shared" ref="CB40" si="16">AVERAGE(CB8:CB38)</f>
        <v>139.61538461538461</v>
      </c>
      <c r="CC40" s="423"/>
      <c r="CD40" s="44"/>
      <c r="CE40" s="44"/>
      <c r="CF40" s="44"/>
      <c r="CG40" s="40"/>
      <c r="CH40" s="40"/>
      <c r="CI40" s="41"/>
      <c r="CJ40" s="28"/>
    </row>
    <row r="41" spans="2:89" ht="14" thickBot="1" x14ac:dyDescent="0.2">
      <c r="C41" s="28"/>
      <c r="D41" s="546">
        <f>IFERROR(AVERAGE(D8:F38),0)</f>
        <v>693.39083333333326</v>
      </c>
      <c r="E41" s="547"/>
      <c r="F41" s="548"/>
      <c r="G41" s="410"/>
      <c r="H41" s="56">
        <f>(+D39+F39+E39)/H39</f>
        <v>5.7673242392444912</v>
      </c>
      <c r="I41" s="412"/>
      <c r="J41" s="546">
        <f>IFERROR(AVERAGE(J8:L38),0)</f>
        <v>961.81257894736848</v>
      </c>
      <c r="K41" s="547"/>
      <c r="L41" s="548"/>
      <c r="M41" s="410"/>
      <c r="N41" s="56">
        <f>(+J39+L39+K39)/N39</f>
        <v>6.5476313149408805</v>
      </c>
      <c r="O41" s="412"/>
      <c r="P41" s="546">
        <f>IFERROR(AVERAGE(P8:R38),0)</f>
        <v>925.37086956521739</v>
      </c>
      <c r="Q41" s="547"/>
      <c r="R41" s="548"/>
      <c r="S41" s="410"/>
      <c r="T41" s="56">
        <f>(+P39+R39+Q39)/T39</f>
        <v>5.9285598885793878</v>
      </c>
      <c r="U41" s="536"/>
      <c r="V41" s="546">
        <f>IFERROR(AVERAGE(V8:X38),0)</f>
        <v>997.33327272727297</v>
      </c>
      <c r="W41" s="547"/>
      <c r="X41" s="548"/>
      <c r="Y41" s="410"/>
      <c r="Z41" s="56">
        <f>(+V39+X39+W39)/Z39</f>
        <v>6.3968897959183684</v>
      </c>
      <c r="AA41" s="412"/>
      <c r="AB41" s="546">
        <f>IFERROR(AVERAGE(AB8:AD38),0)</f>
        <v>852.88395454545434</v>
      </c>
      <c r="AC41" s="547"/>
      <c r="AD41" s="548"/>
      <c r="AE41" s="410"/>
      <c r="AF41" s="56">
        <f>(+AB39+AD39+AC39)/AF39</f>
        <v>5.8580852325944424</v>
      </c>
      <c r="AG41" s="412"/>
      <c r="AH41" s="546">
        <f>IFERROR(AVERAGE(AH8:AJ38),0)</f>
        <v>836.81660000000022</v>
      </c>
      <c r="AI41" s="547"/>
      <c r="AJ41" s="548"/>
      <c r="AK41" s="410"/>
      <c r="AL41" s="56">
        <f>(+AH39+AJ39+AI39)/AL39</f>
        <v>5.5433002119766828</v>
      </c>
      <c r="AM41" s="412"/>
      <c r="AN41" s="546">
        <f>IFERROR(AVERAGE(AN8:AP38),0)</f>
        <v>985.08831578947365</v>
      </c>
      <c r="AO41" s="547"/>
      <c r="AP41" s="548"/>
      <c r="AQ41" s="410"/>
      <c r="AR41" s="56">
        <f>(+AN39+AP39+AO39)/AR39</f>
        <v>7.4956659991990389</v>
      </c>
      <c r="AS41" s="412"/>
      <c r="AT41" s="546">
        <f>IFERROR(AVERAGE(AT8:AV38),0)</f>
        <v>839.32055000000003</v>
      </c>
      <c r="AU41" s="547"/>
      <c r="AV41" s="548"/>
      <c r="AW41" s="410"/>
      <c r="AX41" s="419">
        <f>(+AT39+AV39+AU39)/AX39</f>
        <v>6.0974976389393385</v>
      </c>
      <c r="AY41" s="422"/>
      <c r="AZ41" s="546">
        <f>IFERROR(AVERAGE(AZ8:BB38),0)</f>
        <v>905.96889473684223</v>
      </c>
      <c r="BA41" s="547"/>
      <c r="BB41" s="548"/>
      <c r="BC41" s="410"/>
      <c r="BD41" s="56">
        <f>(+AZ39+BB39+BA39)/BD39</f>
        <v>5.9111981456043958</v>
      </c>
      <c r="BE41" s="412"/>
      <c r="BF41" s="546">
        <f>IFERROR(AVERAGE(BF8:BH38),0)</f>
        <v>0</v>
      </c>
      <c r="BG41" s="547"/>
      <c r="BH41" s="548"/>
      <c r="BI41" s="410"/>
      <c r="BJ41" s="56">
        <f>(+BF39+BH39+BG39)/BJ39</f>
        <v>0</v>
      </c>
      <c r="BK41" s="412"/>
      <c r="BL41" s="546">
        <f>IFERROR(AVERAGE(BL8:BN38),0)</f>
        <v>820.33625000000018</v>
      </c>
      <c r="BM41" s="547"/>
      <c r="BN41" s="548"/>
      <c r="BO41" s="410"/>
      <c r="BP41" s="56">
        <f>(+BL39+BN39+BM39)/BP39</f>
        <v>6.2820899808551367</v>
      </c>
      <c r="BQ41" s="412"/>
      <c r="BR41" s="546">
        <f>IFERROR(AVERAGE(BR8:BT38),0)</f>
        <v>911.11229629629611</v>
      </c>
      <c r="BS41" s="547"/>
      <c r="BT41" s="548"/>
      <c r="BU41" s="410"/>
      <c r="BV41" s="56">
        <f>(+BR39+BT39+BS39)/BV39</f>
        <v>6.0308977690610446</v>
      </c>
      <c r="BW41" s="45"/>
      <c r="BX41" s="546">
        <f>IFERROR(AVERAGE(BX8:BZ38),0)</f>
        <v>846.56660869565212</v>
      </c>
      <c r="BY41" s="547"/>
      <c r="BZ41" s="548"/>
      <c r="CA41" s="410"/>
      <c r="CB41" s="56">
        <f>(+BX39+BZ39+BY39)/CB39</f>
        <v>5.3639206611570245</v>
      </c>
      <c r="CC41" s="45"/>
      <c r="CD41" s="45"/>
      <c r="CE41" s="45"/>
      <c r="CF41" s="45"/>
      <c r="CG41" s="562"/>
      <c r="CH41" s="563"/>
      <c r="CI41" s="41"/>
      <c r="CJ41" s="28"/>
    </row>
    <row r="42" spans="2:89" ht="12.75" customHeight="1" x14ac:dyDescent="0.15"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</row>
    <row r="43" spans="2:89" ht="12.75" customHeight="1" thickBot="1" x14ac:dyDescent="0.2"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</row>
    <row r="44" spans="2:89" ht="14" thickBot="1" x14ac:dyDescent="0.2">
      <c r="D44" s="449"/>
      <c r="E44" s="449"/>
      <c r="F44" s="514" t="s">
        <v>18</v>
      </c>
      <c r="G44" s="48"/>
      <c r="H44" s="58" t="s">
        <v>21</v>
      </c>
      <c r="I44" s="520"/>
      <c r="J44" s="440" t="s">
        <v>36</v>
      </c>
      <c r="K44" s="441" t="s">
        <v>221</v>
      </c>
      <c r="L44" s="526" t="s">
        <v>222</v>
      </c>
      <c r="M44" s="450" t="s">
        <v>223</v>
      </c>
      <c r="N44" s="52"/>
      <c r="O44" s="52"/>
      <c r="P44" s="6"/>
      <c r="Q44" s="6"/>
      <c r="R44" s="6"/>
      <c r="S44" s="6"/>
      <c r="T44" s="6"/>
      <c r="U44" s="6"/>
      <c r="Z44" s="5"/>
      <c r="AA44" s="5"/>
    </row>
    <row r="45" spans="2:89" ht="13" x14ac:dyDescent="0.15">
      <c r="D45" s="555" t="str">
        <f>+D6</f>
        <v>SAMUEL MORENO/SANTIAGO LEON</v>
      </c>
      <c r="E45" s="556"/>
      <c r="F45" s="515">
        <f>+D39+E39+F39</f>
        <v>10992.52</v>
      </c>
      <c r="G45" s="509"/>
      <c r="H45" s="22">
        <f>+H39</f>
        <v>1906</v>
      </c>
      <c r="I45" s="521"/>
      <c r="J45" s="528">
        <f t="shared" ref="J45:J58" si="17">+F45/H45</f>
        <v>5.7673242392444912</v>
      </c>
      <c r="K45" s="454">
        <f>AVERAGE(D40:E40)</f>
        <v>751.5256190476191</v>
      </c>
      <c r="L45" s="529">
        <f>+F40</f>
        <v>522.57687499999997</v>
      </c>
      <c r="M45" s="455">
        <f>+G40</f>
        <v>0</v>
      </c>
      <c r="N45" s="542">
        <f>+J45*3000</f>
        <v>17301.972717733475</v>
      </c>
      <c r="O45" s="539"/>
      <c r="P45" s="539"/>
      <c r="Q45" s="302"/>
      <c r="R45" s="6"/>
      <c r="S45" s="6"/>
      <c r="T45" s="6"/>
      <c r="U45" s="6"/>
      <c r="Z45" s="9"/>
      <c r="AA45" s="9"/>
      <c r="AB45" s="2"/>
      <c r="AC45" s="5"/>
      <c r="AJ45" s="2"/>
      <c r="AK45" s="2"/>
      <c r="AL45" s="2"/>
      <c r="AM45" s="2"/>
      <c r="AN45" s="2"/>
      <c r="AO45" s="2"/>
    </row>
    <row r="46" spans="2:89" ht="13" x14ac:dyDescent="0.15">
      <c r="D46" s="557" t="str">
        <f>+J6</f>
        <v>YEISON FLOREZ</v>
      </c>
      <c r="E46" s="558"/>
      <c r="F46" s="516">
        <f>+J39+K39+L39</f>
        <v>18274.438999999998</v>
      </c>
      <c r="G46" s="458"/>
      <c r="H46" s="200">
        <f>+N39</f>
        <v>2791</v>
      </c>
      <c r="I46" s="522"/>
      <c r="J46" s="524">
        <f t="shared" si="17"/>
        <v>6.5476313149408805</v>
      </c>
      <c r="K46" s="51">
        <f>AVERAGE(J40:K40)</f>
        <v>1093.5531000000001</v>
      </c>
      <c r="L46" s="490">
        <f>+L40</f>
        <v>588.89920000000006</v>
      </c>
      <c r="M46" s="53">
        <f>+M40</f>
        <v>212.88199999999998</v>
      </c>
      <c r="N46" s="542">
        <f>+J46*3000</f>
        <v>19642.893944822641</v>
      </c>
      <c r="O46" s="539"/>
      <c r="P46" s="539">
        <f t="shared" ref="P46:P57" si="18">+N46+O46</f>
        <v>19642.893944822641</v>
      </c>
      <c r="Q46" s="302"/>
      <c r="R46" t="s">
        <v>34</v>
      </c>
      <c r="S46" t="s">
        <v>35</v>
      </c>
      <c r="T46" s="146" t="s">
        <v>220</v>
      </c>
      <c r="Z46" s="2"/>
      <c r="AA46" s="2"/>
      <c r="AB46" s="4"/>
      <c r="AC46" s="4"/>
      <c r="AH46" s="2"/>
      <c r="AI46" s="2"/>
      <c r="AJ46" s="13"/>
      <c r="AK46" s="13"/>
      <c r="AL46" s="13"/>
      <c r="AM46" s="13"/>
      <c r="AN46" s="13"/>
      <c r="AO46" s="13"/>
    </row>
    <row r="47" spans="2:89" ht="13" x14ac:dyDescent="0.15">
      <c r="D47" s="557" t="str">
        <f>+P6</f>
        <v>JHONATAN PADILLA</v>
      </c>
      <c r="E47" s="558"/>
      <c r="F47" s="516">
        <f>+P39+Q39+R39</f>
        <v>21283.53</v>
      </c>
      <c r="G47" s="458"/>
      <c r="H47" s="200">
        <f>+T39</f>
        <v>3590</v>
      </c>
      <c r="I47" s="522"/>
      <c r="J47" s="524">
        <f t="shared" si="17"/>
        <v>5.9285598885793869</v>
      </c>
      <c r="K47" s="51">
        <f>AVERAGE(P40:Q40)</f>
        <v>982.67172222222234</v>
      </c>
      <c r="L47" s="490">
        <f>+R40</f>
        <v>719.0877999999999</v>
      </c>
      <c r="M47" s="53">
        <f>+S40</f>
        <v>231.87100000000001</v>
      </c>
      <c r="N47" s="542">
        <f t="shared" ref="N47:N57" si="19">+J47*3000</f>
        <v>17785.67966573816</v>
      </c>
      <c r="O47" s="539">
        <f>+N47</f>
        <v>17785.67966573816</v>
      </c>
      <c r="P47" s="539">
        <f t="shared" si="18"/>
        <v>35571.35933147632</v>
      </c>
      <c r="Q47" s="302"/>
      <c r="R47" s="60">
        <f t="shared" ref="R47:S48" si="20">+E39+K39+Q39+W39+AC39+AI39+AO39+AU39+BA39+BG39+BM39+BS39+BY39</f>
        <v>69675.502999999997</v>
      </c>
      <c r="S47" s="60">
        <f t="shared" si="20"/>
        <v>50162.468999999997</v>
      </c>
      <c r="T47" s="60">
        <f>+G39+M39+S39+Y39+AE39+AK39+AQ39+AW39+BC39+BI39+BO39+BU39++CA39</f>
        <v>8571.3690000000006</v>
      </c>
      <c r="U47" s="60"/>
      <c r="Z47" s="9"/>
      <c r="AA47" s="9"/>
      <c r="AB47" s="5"/>
      <c r="AC47" s="5"/>
      <c r="AF47" s="3"/>
      <c r="AG47" s="3"/>
      <c r="AH47" s="2"/>
      <c r="AI47" s="2"/>
      <c r="AJ47" s="13"/>
      <c r="AK47" s="13"/>
      <c r="AL47" s="13"/>
      <c r="AM47" s="13"/>
      <c r="AN47" s="1"/>
      <c r="AO47" s="1"/>
      <c r="CH47" s="559"/>
      <c r="CI47" s="560"/>
    </row>
    <row r="48" spans="2:89" ht="13" x14ac:dyDescent="0.15">
      <c r="D48" s="557" t="str">
        <f>+V6</f>
        <v>MARIA CAROLINA MEJIA</v>
      </c>
      <c r="E48" s="558"/>
      <c r="F48" s="516">
        <f>+V39+X39+W39</f>
        <v>21941.332000000002</v>
      </c>
      <c r="G48" s="458"/>
      <c r="H48" s="200">
        <f>+Z39</f>
        <v>3430</v>
      </c>
      <c r="I48" s="522"/>
      <c r="J48" s="524">
        <f t="shared" si="17"/>
        <v>6.3968897959183684</v>
      </c>
      <c r="K48" s="51">
        <f>AVERAGE(V40:W40)</f>
        <v>1025.8541309523812</v>
      </c>
      <c r="L48" s="490">
        <f>+X40</f>
        <v>596.91666666666663</v>
      </c>
      <c r="M48" s="53">
        <f>+Y40</f>
        <v>0</v>
      </c>
      <c r="N48" s="542">
        <f t="shared" si="19"/>
        <v>19190.669387755104</v>
      </c>
      <c r="O48" s="539"/>
      <c r="P48" s="539"/>
      <c r="Q48" s="302"/>
      <c r="R48" s="60">
        <f t="shared" si="20"/>
        <v>10630.43792420635</v>
      </c>
      <c r="S48" s="60">
        <f t="shared" si="20"/>
        <v>7396.6306866883115</v>
      </c>
      <c r="T48" s="60">
        <f>+G40+M40+S40+Y40+AE40+AK40+AQ40+AW40+BC40+BI40+BO40+BU40+CA40</f>
        <v>3552.5096862745095</v>
      </c>
      <c r="U48" s="60"/>
      <c r="AJ48" s="1"/>
      <c r="AK48" s="1"/>
      <c r="AL48" s="1"/>
      <c r="AM48" s="1"/>
      <c r="AN48" s="1"/>
      <c r="AO48" s="1"/>
      <c r="CH48" s="559"/>
      <c r="CI48" s="560"/>
    </row>
    <row r="49" spans="4:41" ht="13" x14ac:dyDescent="0.15">
      <c r="D49" s="557" t="str">
        <f>+AB6</f>
        <v>SANDRA YEPEZ</v>
      </c>
      <c r="E49" s="558"/>
      <c r="F49" s="516">
        <f>+AB39+AC39+AD39</f>
        <v>18763.447</v>
      </c>
      <c r="G49" s="458"/>
      <c r="H49" s="200">
        <f>+T39</f>
        <v>3590</v>
      </c>
      <c r="I49" s="522"/>
      <c r="J49" s="524">
        <f t="shared" si="17"/>
        <v>5.2265869080779943</v>
      </c>
      <c r="K49" s="51">
        <f>AVERAGE(AB40:AC40)</f>
        <v>1012.5621777777778</v>
      </c>
      <c r="L49" s="490">
        <f>+AD40</f>
        <v>656.45837500000005</v>
      </c>
      <c r="M49" s="53">
        <f>+AE40</f>
        <v>0</v>
      </c>
      <c r="N49" s="542">
        <f t="shared" si="19"/>
        <v>15679.760724233984</v>
      </c>
      <c r="O49" s="539"/>
      <c r="P49" s="539">
        <f t="shared" si="18"/>
        <v>15679.760724233984</v>
      </c>
      <c r="Q49" s="302"/>
      <c r="AJ49" s="13"/>
      <c r="AK49" s="13"/>
      <c r="AL49" s="13"/>
      <c r="AM49" s="13"/>
      <c r="AN49" s="13"/>
      <c r="AO49" s="13"/>
    </row>
    <row r="50" spans="4:41" ht="13" x14ac:dyDescent="0.15">
      <c r="D50" s="557" t="str">
        <f>+AH6</f>
        <v>LEONARDO SERPA</v>
      </c>
      <c r="E50" s="558"/>
      <c r="F50" s="516">
        <f>+AH39+AI39+AJ39</f>
        <v>20920.415000000001</v>
      </c>
      <c r="G50" s="458"/>
      <c r="H50" s="200">
        <f>+AL39</f>
        <v>3774</v>
      </c>
      <c r="I50" s="522"/>
      <c r="J50" s="524">
        <f t="shared" si="17"/>
        <v>5.5433002119766828</v>
      </c>
      <c r="K50" s="51">
        <f>AVERAGE(AH40:AI40)</f>
        <v>1022.0762916666667</v>
      </c>
      <c r="L50" s="490">
        <f>+AJ40</f>
        <v>577.79245454545458</v>
      </c>
      <c r="M50" s="53">
        <f>+AK40</f>
        <v>386.78250000000003</v>
      </c>
      <c r="N50" s="542">
        <f t="shared" si="19"/>
        <v>16629.900635930047</v>
      </c>
      <c r="O50" s="539">
        <f>+N50</f>
        <v>16629.900635930047</v>
      </c>
      <c r="P50" s="539">
        <f t="shared" si="18"/>
        <v>33259.801271860095</v>
      </c>
      <c r="Q50" s="302"/>
      <c r="AJ50" s="13"/>
      <c r="AK50" s="13"/>
      <c r="AL50" s="13"/>
      <c r="AM50" s="13"/>
      <c r="AN50" s="13"/>
      <c r="AO50" s="13"/>
    </row>
    <row r="51" spans="4:41" ht="13" x14ac:dyDescent="0.15">
      <c r="D51" s="557" t="str">
        <f>+AN6</f>
        <v>YADIRA CRUZ</v>
      </c>
      <c r="E51" s="558"/>
      <c r="F51" s="516">
        <f>+AN39+AO39+AP39</f>
        <v>18716.678000000004</v>
      </c>
      <c r="G51" s="458"/>
      <c r="H51" s="200">
        <f>+AR39</f>
        <v>2497</v>
      </c>
      <c r="I51" s="522"/>
      <c r="J51" s="524">
        <f t="shared" si="17"/>
        <v>7.4956659991990406</v>
      </c>
      <c r="K51" s="51">
        <f>AVERAGE(AN40:AO40)</f>
        <v>1032.7816984126985</v>
      </c>
      <c r="L51" s="490">
        <f>+AP40</f>
        <v>655.31733333333329</v>
      </c>
      <c r="M51" s="53">
        <f>+AR40</f>
        <v>131.42105263157896</v>
      </c>
      <c r="N51" s="542">
        <f t="shared" si="19"/>
        <v>22486.997997597122</v>
      </c>
      <c r="O51" s="539"/>
      <c r="P51" s="539">
        <f t="shared" si="18"/>
        <v>22486.997997597122</v>
      </c>
      <c r="Q51" s="302"/>
      <c r="AJ51" s="13"/>
      <c r="AK51" s="13"/>
      <c r="AL51" s="13"/>
      <c r="AM51" s="13"/>
      <c r="AN51" s="13"/>
      <c r="AO51" s="13"/>
    </row>
    <row r="52" spans="4:41" ht="13" x14ac:dyDescent="0.15">
      <c r="D52" s="557" t="str">
        <f>+AT6</f>
        <v>MARIBEL GAMEZ</v>
      </c>
      <c r="E52" s="558"/>
      <c r="F52" s="516">
        <f>+AT39+AU39+AV39</f>
        <v>16786.411</v>
      </c>
      <c r="G52" s="458"/>
      <c r="H52" s="200">
        <f>+AX39</f>
        <v>2753</v>
      </c>
      <c r="I52" s="522"/>
      <c r="J52" s="524">
        <f t="shared" si="17"/>
        <v>6.0974976389393385</v>
      </c>
      <c r="K52" s="51">
        <f>AVERAGE(AT40:AU40)</f>
        <v>1032.6844375000001</v>
      </c>
      <c r="L52" s="490">
        <f>+AV40</f>
        <v>627.69799999999998</v>
      </c>
      <c r="M52" s="53">
        <f>+AW40</f>
        <v>157.86500000000001</v>
      </c>
      <c r="N52" s="542">
        <f t="shared" si="19"/>
        <v>18292.492916818017</v>
      </c>
      <c r="O52" s="539"/>
      <c r="P52" s="539">
        <f t="shared" si="18"/>
        <v>18292.492916818017</v>
      </c>
      <c r="Q52" s="302"/>
      <c r="AJ52" s="13"/>
      <c r="AK52" s="13"/>
      <c r="AL52" s="13"/>
      <c r="AM52" s="13"/>
      <c r="AN52" s="13"/>
      <c r="AO52" s="13"/>
    </row>
    <row r="53" spans="4:41" ht="13" x14ac:dyDescent="0.15">
      <c r="D53" s="557" t="str">
        <f>+AZ6</f>
        <v>ANGELA HERREÑO</v>
      </c>
      <c r="E53" s="558"/>
      <c r="F53" s="516">
        <f>+AZ39+BA39+BB39</f>
        <v>17213.409</v>
      </c>
      <c r="G53" s="458"/>
      <c r="H53" s="200">
        <f>+BD39</f>
        <v>2912</v>
      </c>
      <c r="I53" s="522"/>
      <c r="J53" s="524">
        <f t="shared" si="17"/>
        <v>5.9111981456043958</v>
      </c>
      <c r="K53" s="51">
        <f>AVERAGE(AZ40:BA40)</f>
        <v>1049.3712142857144</v>
      </c>
      <c r="L53" s="490">
        <f>+BB40</f>
        <v>687.77337499999987</v>
      </c>
      <c r="M53" s="53">
        <f>+BC40</f>
        <v>145.80833333333334</v>
      </c>
      <c r="N53" s="542">
        <f t="shared" si="19"/>
        <v>17733.594436813186</v>
      </c>
      <c r="O53" s="539"/>
      <c r="P53" s="539">
        <f t="shared" si="18"/>
        <v>17733.594436813186</v>
      </c>
      <c r="Q53" s="302"/>
      <c r="AJ53" s="13"/>
      <c r="AK53" s="13"/>
      <c r="AL53" s="13"/>
      <c r="AM53" s="13"/>
      <c r="AN53" s="13"/>
      <c r="AO53" s="13"/>
    </row>
    <row r="54" spans="4:41" ht="13" x14ac:dyDescent="0.15">
      <c r="D54" s="557" t="str">
        <f>+BF6</f>
        <v>LIZETH ORJUELA</v>
      </c>
      <c r="E54" s="558"/>
      <c r="F54" s="516">
        <f>+BF39+BG39+BH39</f>
        <v>0</v>
      </c>
      <c r="G54" s="458"/>
      <c r="H54" s="200">
        <f>+BJ39</f>
        <v>344</v>
      </c>
      <c r="I54" s="522"/>
      <c r="J54" s="524">
        <f t="shared" si="17"/>
        <v>0</v>
      </c>
      <c r="K54" s="51">
        <f>AVERAGE(BF40:BG40)</f>
        <v>0</v>
      </c>
      <c r="L54" s="490">
        <f>+BH40+F40+L40++R40+X40+AD40+AJ40+AP40+AV40+BB40+BN40+BT40+BZ40</f>
        <v>7396.6306866883115</v>
      </c>
      <c r="M54" s="53">
        <f>+BI40</f>
        <v>132.80535294117647</v>
      </c>
      <c r="N54" s="542">
        <f t="shared" si="19"/>
        <v>0</v>
      </c>
      <c r="O54" s="539"/>
      <c r="P54" s="539">
        <f t="shared" si="18"/>
        <v>0</v>
      </c>
      <c r="Q54" s="302"/>
      <c r="AJ54" s="13"/>
      <c r="AK54" s="13"/>
      <c r="AL54" s="13"/>
      <c r="AM54" s="13"/>
      <c r="AN54" s="13"/>
      <c r="AO54" s="13"/>
    </row>
    <row r="55" spans="4:41" ht="13" x14ac:dyDescent="0.15">
      <c r="D55" s="557" t="str">
        <f>+BL6</f>
        <v>ANGIE RUIZ/CAMILO SANCHEZ</v>
      </c>
      <c r="E55" s="558"/>
      <c r="F55" s="516">
        <f>+BL39+BM39+BN39</f>
        <v>19688.07</v>
      </c>
      <c r="G55" s="458"/>
      <c r="H55" s="200">
        <f>+BP39</f>
        <v>3134</v>
      </c>
      <c r="I55" s="522"/>
      <c r="J55" s="524">
        <f t="shared" si="17"/>
        <v>6.2820899808551367</v>
      </c>
      <c r="K55" s="51">
        <f>AVERAGE(BL40:BM40)</f>
        <v>933.83860317460312</v>
      </c>
      <c r="L55" s="490">
        <f>+BN40</f>
        <v>566.18025</v>
      </c>
      <c r="M55" s="53">
        <f>+BO40</f>
        <v>513.96449999999993</v>
      </c>
      <c r="N55" s="542">
        <f t="shared" si="19"/>
        <v>18846.26994256541</v>
      </c>
      <c r="O55" s="539"/>
      <c r="P55" s="539">
        <f t="shared" si="18"/>
        <v>18846.26994256541</v>
      </c>
      <c r="Q55" s="302"/>
      <c r="AJ55" s="13"/>
      <c r="AK55" s="13"/>
      <c r="AL55" s="13"/>
      <c r="AM55" s="13"/>
      <c r="AN55" s="13"/>
      <c r="AO55" s="13"/>
    </row>
    <row r="56" spans="4:41" ht="13" x14ac:dyDescent="0.15">
      <c r="D56" s="557" t="str">
        <f>+BR6</f>
        <v>JOSE DUARTE</v>
      </c>
      <c r="E56" s="558"/>
      <c r="F56" s="516">
        <f>+BR39+BS39+BT39</f>
        <v>24600.031999999999</v>
      </c>
      <c r="G56" s="458"/>
      <c r="H56" s="200">
        <f>+BV39</f>
        <v>4079</v>
      </c>
      <c r="I56" s="522"/>
      <c r="J56" s="524">
        <f>+F56/H56</f>
        <v>6.0308977690610446</v>
      </c>
      <c r="K56" s="51">
        <f>AVERAGE(BR40:BS40)</f>
        <v>1028.2935142857143</v>
      </c>
      <c r="L56" s="490">
        <f>+BT40</f>
        <v>709.20749999999998</v>
      </c>
      <c r="M56" s="53">
        <f>+BU40</f>
        <v>1132.6079999999999</v>
      </c>
      <c r="N56" s="542">
        <f t="shared" si="19"/>
        <v>18092.693307183134</v>
      </c>
      <c r="O56" s="539">
        <f>+N56</f>
        <v>18092.693307183134</v>
      </c>
      <c r="P56" s="539">
        <f t="shared" si="18"/>
        <v>36185.386614366267</v>
      </c>
      <c r="Q56" s="302"/>
      <c r="AJ56" s="1"/>
      <c r="AK56" s="1"/>
      <c r="AL56" s="1"/>
      <c r="AM56" s="1"/>
      <c r="AN56" s="1"/>
      <c r="AO56" s="1"/>
    </row>
    <row r="57" spans="4:41" ht="14" thickBot="1" x14ac:dyDescent="0.2">
      <c r="D57" s="549" t="str">
        <f>+BX6</f>
        <v>VALENTINA COSSIO /DANIEL ARGEL</v>
      </c>
      <c r="E57" s="550"/>
      <c r="F57" s="517">
        <f>+BX39+BY39+BZ39</f>
        <v>19471.032000000003</v>
      </c>
      <c r="G57" s="512"/>
      <c r="H57" s="510">
        <f>+CB39</f>
        <v>3630</v>
      </c>
      <c r="I57" s="523"/>
      <c r="J57" s="525">
        <f>+F57/H57</f>
        <v>5.3639206611570254</v>
      </c>
      <c r="K57" s="456">
        <f>AVERAGE(BX40:BY40)</f>
        <v>967.25750000000005</v>
      </c>
      <c r="L57" s="379">
        <f>+BZ40</f>
        <v>488.72285714285715</v>
      </c>
      <c r="M57" s="457">
        <f>+CA40</f>
        <v>637.923</v>
      </c>
      <c r="N57" s="542">
        <f t="shared" si="19"/>
        <v>16091.761983471077</v>
      </c>
      <c r="O57" s="539"/>
      <c r="P57" s="539">
        <f t="shared" si="18"/>
        <v>16091.761983471077</v>
      </c>
      <c r="Q57" s="302"/>
      <c r="AJ57" s="1"/>
      <c r="AK57" s="1"/>
      <c r="AL57" s="1"/>
      <c r="AM57" s="1"/>
      <c r="AN57" s="1"/>
      <c r="AO57" s="1"/>
    </row>
    <row r="58" spans="4:41" ht="14" thickBot="1" x14ac:dyDescent="0.2">
      <c r="D58" s="568"/>
      <c r="E58" s="568"/>
      <c r="F58" s="518">
        <f>SUM(F45:F56)</f>
        <v>209180.283</v>
      </c>
      <c r="G58" s="513"/>
      <c r="H58" s="511">
        <f>SUM(H45:H56)</f>
        <v>34800</v>
      </c>
      <c r="I58" s="451"/>
      <c r="J58" s="527">
        <f t="shared" si="17"/>
        <v>6.0109276724137928</v>
      </c>
      <c r="K58" s="452">
        <f>+AVERAGE(K45:K56)</f>
        <v>913.7677091104498</v>
      </c>
      <c r="L58" s="452">
        <f>+AVERAGE(L45:L56)</f>
        <v>1192.0448763528138</v>
      </c>
      <c r="M58" s="453">
        <f>+AVERAGE(M45:M56)</f>
        <v>253.83397824217408</v>
      </c>
      <c r="N58" s="540"/>
      <c r="O58" s="541"/>
      <c r="P58" s="539">
        <f>SUM(P45:P57)</f>
        <v>233790.31916402411</v>
      </c>
      <c r="Q58" s="302">
        <v>62802.587399999997</v>
      </c>
      <c r="AJ58" s="3"/>
      <c r="AK58" s="3"/>
      <c r="AL58" s="3"/>
      <c r="AM58" s="3"/>
    </row>
    <row r="59" spans="4:41" ht="12.75" customHeight="1" x14ac:dyDescent="0.15">
      <c r="H59" s="1"/>
      <c r="I59" s="1"/>
      <c r="J59" s="10"/>
      <c r="K59" s="10"/>
    </row>
    <row r="60" spans="4:41" ht="12.75" customHeight="1" x14ac:dyDescent="0.15">
      <c r="F60" s="3"/>
      <c r="G60" s="3"/>
      <c r="H60" s="55"/>
      <c r="I60" s="55"/>
      <c r="J60" s="54"/>
      <c r="K60" s="29"/>
      <c r="AH60" s="1"/>
      <c r="AI60" s="1"/>
      <c r="AJ60" s="2"/>
      <c r="AK60" s="2"/>
      <c r="AL60" s="2"/>
      <c r="AM60" s="2"/>
      <c r="AN60" s="2"/>
      <c r="AO60" s="2"/>
    </row>
    <row r="61" spans="4:41" ht="12.75" customHeight="1" x14ac:dyDescent="0.15">
      <c r="F61" s="8"/>
      <c r="G61" s="8"/>
      <c r="AH61" s="2"/>
      <c r="AI61" s="2"/>
      <c r="AJ61" s="14"/>
      <c r="AK61" s="14"/>
      <c r="AL61" s="14"/>
      <c r="AM61" s="14"/>
      <c r="AN61" s="14"/>
      <c r="AO61" s="14"/>
    </row>
    <row r="62" spans="4:41" ht="12.75" customHeight="1" x14ac:dyDescent="0.15">
      <c r="F62" s="60"/>
      <c r="G62" s="60"/>
      <c r="AH62" s="2"/>
      <c r="AI62" s="2"/>
      <c r="AJ62" s="14"/>
      <c r="AK62" s="14"/>
      <c r="AL62" s="14"/>
      <c r="AM62" s="14"/>
      <c r="AN62" s="1"/>
      <c r="AO62" s="1"/>
    </row>
    <row r="63" spans="4:41" ht="12.75" customHeight="1" x14ac:dyDescent="0.15">
      <c r="AJ63" s="1"/>
      <c r="AK63" s="1"/>
      <c r="AL63" s="1"/>
      <c r="AM63" s="1"/>
      <c r="AN63" s="1"/>
      <c r="AO63" s="1"/>
    </row>
    <row r="64" spans="4:41" ht="12.75" customHeight="1" x14ac:dyDescent="0.15">
      <c r="AJ64" s="14"/>
      <c r="AK64" s="14"/>
      <c r="AL64" s="14"/>
      <c r="AM64" s="14"/>
      <c r="AN64" s="14"/>
      <c r="AO64" s="14"/>
    </row>
    <row r="65" spans="75:75" ht="12.75" customHeight="1" x14ac:dyDescent="0.15"/>
    <row r="66" spans="75:75" ht="12.75" customHeight="1" x14ac:dyDescent="0.15"/>
    <row r="67" spans="75:75" ht="12.75" customHeight="1" x14ac:dyDescent="0.15"/>
    <row r="68" spans="75:75" ht="12.75" customHeight="1" x14ac:dyDescent="0.15">
      <c r="BW68">
        <v>7</v>
      </c>
    </row>
    <row r="69" spans="75:75" ht="12.75" customHeight="1" x14ac:dyDescent="0.15"/>
    <row r="70" spans="75:75" ht="12.75" customHeight="1" x14ac:dyDescent="0.15"/>
    <row r="71" spans="75:75" ht="12.75" customHeight="1" x14ac:dyDescent="0.15"/>
    <row r="72" spans="75:75" ht="12.75" customHeight="1" x14ac:dyDescent="0.15"/>
    <row r="73" spans="75:75" ht="12.75" customHeight="1" x14ac:dyDescent="0.15"/>
    <row r="74" spans="75:75" ht="12.75" customHeight="1" x14ac:dyDescent="0.15"/>
    <row r="75" spans="75:75" ht="12.75" customHeight="1" x14ac:dyDescent="0.15"/>
    <row r="76" spans="75:75" ht="12.75" customHeight="1" x14ac:dyDescent="0.15"/>
    <row r="77" spans="75:75" ht="12.75" customHeight="1" x14ac:dyDescent="0.15"/>
    <row r="78" spans="75:75" ht="12.75" customHeight="1" x14ac:dyDescent="0.15"/>
    <row r="79" spans="75:75" ht="12.75" customHeight="1" x14ac:dyDescent="0.15"/>
    <row r="80" spans="75:75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  <row r="1001" ht="12.75" customHeight="1" x14ac:dyDescent="0.15"/>
    <row r="1002" ht="12.75" customHeight="1" x14ac:dyDescent="0.15"/>
    <row r="1003" ht="12.75" customHeight="1" x14ac:dyDescent="0.15"/>
    <row r="1004" ht="12.75" customHeight="1" x14ac:dyDescent="0.15"/>
    <row r="1005" ht="12.75" customHeight="1" x14ac:dyDescent="0.15"/>
    <row r="27620" spans="75:75" ht="15" customHeight="1" x14ac:dyDescent="0.15">
      <c r="BW27620">
        <v>4</v>
      </c>
    </row>
  </sheetData>
  <mergeCells count="50">
    <mergeCell ref="AZ6:BE6"/>
    <mergeCell ref="BF6:BK6"/>
    <mergeCell ref="D58:E58"/>
    <mergeCell ref="D49:E49"/>
    <mergeCell ref="D50:E50"/>
    <mergeCell ref="D51:E51"/>
    <mergeCell ref="D52:E52"/>
    <mergeCell ref="D53:E53"/>
    <mergeCell ref="D54:E54"/>
    <mergeCell ref="CH47:CI47"/>
    <mergeCell ref="D48:E48"/>
    <mergeCell ref="CH48:CI48"/>
    <mergeCell ref="D55:E55"/>
    <mergeCell ref="D56:E56"/>
    <mergeCell ref="CG41:CH41"/>
    <mergeCell ref="CI7:CJ7"/>
    <mergeCell ref="B40:C40"/>
    <mergeCell ref="D41:F41"/>
    <mergeCell ref="J41:L41"/>
    <mergeCell ref="P41:R41"/>
    <mergeCell ref="V41:X41"/>
    <mergeCell ref="AB41:AD41"/>
    <mergeCell ref="AH41:AJ41"/>
    <mergeCell ref="AN41:AP41"/>
    <mergeCell ref="AT41:AV41"/>
    <mergeCell ref="AZ41:BB41"/>
    <mergeCell ref="BF41:BH41"/>
    <mergeCell ref="BL41:BN41"/>
    <mergeCell ref="BR41:BT41"/>
    <mergeCell ref="B1:V1"/>
    <mergeCell ref="B2:V2"/>
    <mergeCell ref="B3:V3"/>
    <mergeCell ref="J4:N4"/>
    <mergeCell ref="D5:AB5"/>
    <mergeCell ref="BX6:CC6"/>
    <mergeCell ref="BX41:BZ41"/>
    <mergeCell ref="D57:E57"/>
    <mergeCell ref="P6:U6"/>
    <mergeCell ref="J6:O6"/>
    <mergeCell ref="D6:I6"/>
    <mergeCell ref="V6:AA6"/>
    <mergeCell ref="AB6:AG6"/>
    <mergeCell ref="D45:E45"/>
    <mergeCell ref="D46:E46"/>
    <mergeCell ref="D47:E47"/>
    <mergeCell ref="BL6:BQ6"/>
    <mergeCell ref="BR6:BW6"/>
    <mergeCell ref="AH6:AM6"/>
    <mergeCell ref="AN6:AS6"/>
    <mergeCell ref="AT6:AY6"/>
  </mergeCells>
  <conditionalFormatting sqref="F45:F5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4:N36"/>
  <sheetViews>
    <sheetView zoomScale="110" zoomScaleNormal="110" workbookViewId="0">
      <selection activeCell="G38" sqref="G38"/>
    </sheetView>
  </sheetViews>
  <sheetFormatPr baseColWidth="10" defaultColWidth="10.83203125" defaultRowHeight="13" x14ac:dyDescent="0.15"/>
  <cols>
    <col min="2" max="2" width="18.83203125" bestFit="1" customWidth="1"/>
    <col min="3" max="3" width="9.33203125" customWidth="1"/>
    <col min="4" max="12" width="8.83203125" bestFit="1" customWidth="1"/>
    <col min="18" max="18" width="15.5" bestFit="1" customWidth="1"/>
  </cols>
  <sheetData>
    <row r="4" spans="2:14" ht="14" thickBot="1" x14ac:dyDescent="0.2"/>
    <row r="5" spans="2:14" ht="17" thickBot="1" x14ac:dyDescent="0.25">
      <c r="B5" s="601">
        <v>2026</v>
      </c>
      <c r="C5" s="602"/>
      <c r="D5" s="602"/>
      <c r="E5" s="602"/>
      <c r="F5" s="602"/>
      <c r="G5" s="602"/>
      <c r="H5" s="602"/>
      <c r="I5" s="602"/>
      <c r="J5" s="602"/>
      <c r="K5" s="602"/>
      <c r="L5" s="602"/>
      <c r="M5" s="602"/>
      <c r="N5" s="603"/>
    </row>
    <row r="6" spans="2:14" ht="14" thickBot="1" x14ac:dyDescent="0.2">
      <c r="B6" s="167"/>
      <c r="C6" s="166" t="s">
        <v>76</v>
      </c>
      <c r="D6" s="92" t="s">
        <v>77</v>
      </c>
      <c r="E6" s="92" t="s">
        <v>78</v>
      </c>
      <c r="F6" s="92" t="s">
        <v>79</v>
      </c>
      <c r="G6" s="92" t="s">
        <v>80</v>
      </c>
      <c r="H6" s="92" t="s">
        <v>81</v>
      </c>
      <c r="I6" s="92" t="s">
        <v>82</v>
      </c>
      <c r="J6" s="92" t="s">
        <v>83</v>
      </c>
      <c r="K6" s="92" t="s">
        <v>84</v>
      </c>
      <c r="L6" s="92" t="s">
        <v>85</v>
      </c>
      <c r="M6" s="92" t="s">
        <v>86</v>
      </c>
      <c r="N6" s="93" t="s">
        <v>87</v>
      </c>
    </row>
    <row r="7" spans="2:14" x14ac:dyDescent="0.15">
      <c r="B7" s="203" t="s">
        <v>3</v>
      </c>
      <c r="C7" s="113">
        <v>241755.22</v>
      </c>
      <c r="D7" s="114">
        <f>+'G. Corriente'!E38+Bioacem!E38+'G. Extra'!E38</f>
        <v>238711.71</v>
      </c>
      <c r="E7" s="114"/>
      <c r="F7" s="114"/>
      <c r="G7" s="114"/>
      <c r="H7" s="114"/>
      <c r="I7" s="114"/>
      <c r="J7" s="114"/>
      <c r="K7" s="114"/>
      <c r="L7" s="114"/>
      <c r="M7" s="114"/>
      <c r="N7" s="115">
        <f>+[2]Cierre!H58</f>
        <v>0</v>
      </c>
    </row>
    <row r="8" spans="2:14" x14ac:dyDescent="0.15">
      <c r="B8" s="169" t="s">
        <v>88</v>
      </c>
      <c r="C8" s="87">
        <v>248400</v>
      </c>
      <c r="D8" s="84">
        <f>+'G. Corriente'!F38+Bioacem!F38+'G. Extra'!F38</f>
        <v>240300</v>
      </c>
      <c r="E8" s="84"/>
      <c r="F8" s="84"/>
      <c r="G8" s="84"/>
      <c r="H8" s="84"/>
      <c r="I8" s="84"/>
      <c r="J8" s="84"/>
      <c r="K8" s="84"/>
      <c r="L8" s="84"/>
      <c r="M8" s="84"/>
      <c r="N8" s="88">
        <f>+[2]Facturas!F93</f>
        <v>0</v>
      </c>
    </row>
    <row r="9" spans="2:14" x14ac:dyDescent="0.15">
      <c r="B9" s="216" t="s">
        <v>47</v>
      </c>
      <c r="C9" s="170">
        <v>23699.247464215339</v>
      </c>
      <c r="D9" s="171">
        <f>+Cierre!L35+Cierre!P35</f>
        <v>23619.749548581036</v>
      </c>
      <c r="E9" s="171"/>
      <c r="F9" s="171"/>
      <c r="G9" s="171"/>
      <c r="H9" s="171"/>
      <c r="I9" s="171"/>
      <c r="J9" s="171"/>
      <c r="K9" s="171"/>
      <c r="L9" s="171"/>
      <c r="M9" s="171"/>
      <c r="N9" s="172">
        <f>+[2]Cierre!L59</f>
        <v>0</v>
      </c>
    </row>
    <row r="10" spans="2:14" x14ac:dyDescent="0.15">
      <c r="B10" s="216" t="s">
        <v>98</v>
      </c>
      <c r="C10" s="170">
        <v>8321.3859446544539</v>
      </c>
      <c r="D10" s="171">
        <f>+Cierre!T35</f>
        <v>10327.538372026554</v>
      </c>
      <c r="E10" s="171"/>
      <c r="F10" s="171"/>
      <c r="G10" s="171"/>
      <c r="H10" s="171"/>
      <c r="I10" s="171"/>
      <c r="J10" s="171"/>
      <c r="K10" s="171"/>
      <c r="L10" s="171"/>
      <c r="M10" s="171"/>
      <c r="N10" s="172">
        <f>+[2]Cierre!T59</f>
        <v>0</v>
      </c>
    </row>
    <row r="11" spans="2:14" x14ac:dyDescent="0.15">
      <c r="B11" s="216" t="s">
        <v>99</v>
      </c>
      <c r="C11" s="170">
        <v>209734.58659113018</v>
      </c>
      <c r="D11" s="171">
        <f>+D7-D9-D10</f>
        <v>204764.42207939239</v>
      </c>
      <c r="E11" s="171"/>
      <c r="F11" s="171"/>
      <c r="G11" s="171"/>
      <c r="H11" s="171"/>
      <c r="I11" s="171"/>
      <c r="J11" s="171"/>
      <c r="K11" s="171"/>
      <c r="L11" s="171"/>
      <c r="M11" s="171"/>
      <c r="N11" s="172">
        <f>+N7-N9-N10</f>
        <v>0</v>
      </c>
    </row>
    <row r="12" spans="2:14" ht="14" thickBot="1" x14ac:dyDescent="0.2">
      <c r="B12" s="216" t="s">
        <v>158</v>
      </c>
      <c r="C12" s="154">
        <v>220944</v>
      </c>
      <c r="D12" s="116">
        <f>+D13+D14+D15</f>
        <v>238464</v>
      </c>
      <c r="E12" s="116"/>
      <c r="F12" s="116"/>
      <c r="G12" s="116"/>
      <c r="H12" s="116"/>
      <c r="I12" s="116"/>
      <c r="J12" s="116"/>
      <c r="K12" s="116"/>
      <c r="L12" s="116"/>
      <c r="M12" s="116"/>
      <c r="N12" s="117"/>
    </row>
    <row r="13" spans="2:14" x14ac:dyDescent="0.15">
      <c r="B13" s="225" t="s">
        <v>150</v>
      </c>
      <c r="C13" s="222">
        <v>103407</v>
      </c>
      <c r="D13" s="114">
        <v>110924</v>
      </c>
      <c r="E13" s="114"/>
      <c r="F13" s="114"/>
      <c r="G13" s="114"/>
      <c r="H13" s="114"/>
      <c r="I13" s="114"/>
      <c r="J13" s="114"/>
      <c r="K13" s="114"/>
      <c r="L13" s="114"/>
      <c r="M13" s="114"/>
      <c r="N13" s="115"/>
    </row>
    <row r="14" spans="2:14" x14ac:dyDescent="0.15">
      <c r="B14" s="217" t="s">
        <v>149</v>
      </c>
      <c r="C14" s="223">
        <v>108332</v>
      </c>
      <c r="D14" s="84">
        <v>117867</v>
      </c>
      <c r="E14" s="84"/>
      <c r="F14" s="84"/>
      <c r="G14" s="84"/>
      <c r="H14" s="84"/>
      <c r="I14" s="84"/>
      <c r="J14" s="84"/>
      <c r="K14" s="84"/>
      <c r="L14" s="84"/>
      <c r="M14" s="84"/>
      <c r="N14" s="88"/>
    </row>
    <row r="15" spans="2:14" ht="14" thickBot="1" x14ac:dyDescent="0.2">
      <c r="B15" s="226" t="s">
        <v>151</v>
      </c>
      <c r="C15" s="356">
        <v>9205</v>
      </c>
      <c r="D15" s="116">
        <v>9673</v>
      </c>
      <c r="E15" s="116"/>
      <c r="F15" s="116"/>
      <c r="G15" s="116"/>
      <c r="H15" s="116"/>
      <c r="I15" s="116"/>
      <c r="J15" s="116"/>
      <c r="K15" s="116"/>
      <c r="L15" s="116"/>
      <c r="M15" s="116"/>
      <c r="N15" s="117"/>
    </row>
    <row r="16" spans="2:14" x14ac:dyDescent="0.15">
      <c r="B16" s="168" t="s">
        <v>89</v>
      </c>
      <c r="C16" s="355">
        <f>+C8/C12</f>
        <v>1.1242667825331305</v>
      </c>
      <c r="D16" s="231">
        <f>+D8/D12</f>
        <v>1.0076992753623188</v>
      </c>
      <c r="E16" s="231"/>
      <c r="F16" s="231"/>
      <c r="G16" s="231"/>
      <c r="H16" s="231"/>
      <c r="I16" s="231"/>
      <c r="J16" s="231"/>
      <c r="K16" s="231"/>
      <c r="L16" s="231"/>
      <c r="M16" s="231"/>
      <c r="N16" s="219"/>
    </row>
    <row r="17" spans="2:14" x14ac:dyDescent="0.15">
      <c r="B17" s="217" t="s">
        <v>96</v>
      </c>
      <c r="C17" s="263">
        <f>+C9/C7</f>
        <v>9.8029930705179139E-2</v>
      </c>
      <c r="D17" s="218">
        <f>+D9/D7</f>
        <v>9.8946756942007733E-2</v>
      </c>
      <c r="E17" s="218"/>
      <c r="F17" s="218"/>
      <c r="G17" s="218"/>
      <c r="H17" s="218"/>
      <c r="I17" s="218"/>
      <c r="J17" s="218"/>
      <c r="K17" s="218"/>
      <c r="L17" s="218"/>
      <c r="M17" s="218"/>
      <c r="N17" s="264"/>
    </row>
    <row r="18" spans="2:14" x14ac:dyDescent="0.15">
      <c r="B18" s="217" t="s">
        <v>155</v>
      </c>
      <c r="C18" s="265">
        <f t="shared" ref="C18:D18" si="0">+C10/C7</f>
        <v>3.4420708453180258E-2</v>
      </c>
      <c r="D18" s="227">
        <f t="shared" si="0"/>
        <v>4.3263643714950367E-2</v>
      </c>
      <c r="E18" s="227"/>
      <c r="F18" s="227"/>
      <c r="G18" s="227"/>
      <c r="H18" s="227"/>
      <c r="I18" s="227"/>
      <c r="J18" s="227"/>
      <c r="K18" s="227"/>
      <c r="L18" s="227"/>
      <c r="M18" s="227"/>
      <c r="N18" s="266"/>
    </row>
    <row r="19" spans="2:14" ht="14" thickBot="1" x14ac:dyDescent="0.2">
      <c r="B19" s="226" t="s">
        <v>97</v>
      </c>
      <c r="C19" s="228">
        <f t="shared" ref="C19:D19" si="1">+C11/C7</f>
        <v>0.86754936084164047</v>
      </c>
      <c r="D19" s="228">
        <f t="shared" si="1"/>
        <v>0.85778959934304189</v>
      </c>
      <c r="E19" s="228"/>
      <c r="F19" s="228"/>
      <c r="G19" s="228"/>
      <c r="H19" s="228"/>
      <c r="I19" s="228"/>
      <c r="J19" s="228"/>
      <c r="K19" s="228"/>
      <c r="L19" s="228"/>
      <c r="M19" s="228"/>
      <c r="N19" s="267"/>
    </row>
    <row r="20" spans="2:14" ht="14" thickBot="1" x14ac:dyDescent="0.2">
      <c r="B20" s="604" t="s">
        <v>152</v>
      </c>
      <c r="C20" s="605"/>
      <c r="D20" s="605"/>
      <c r="E20" s="605"/>
      <c r="F20" s="605"/>
      <c r="G20" s="605"/>
      <c r="H20" s="605"/>
      <c r="I20" s="605"/>
      <c r="J20" s="605"/>
      <c r="K20" s="605"/>
      <c r="L20" s="605"/>
      <c r="M20" s="605"/>
      <c r="N20" s="606"/>
    </row>
    <row r="21" spans="2:14" x14ac:dyDescent="0.15">
      <c r="B21" s="354" t="s">
        <v>143</v>
      </c>
      <c r="C21" s="230">
        <v>1.1198468188807333</v>
      </c>
      <c r="D21" s="231">
        <f>+'G. Corriente'!F38/Presupuesto!D13</f>
        <v>0.9429879917781544</v>
      </c>
      <c r="E21" s="231"/>
      <c r="F21" s="231"/>
      <c r="G21" s="231"/>
      <c r="H21" s="231"/>
      <c r="I21" s="231"/>
      <c r="J21" s="231"/>
      <c r="K21" s="231"/>
      <c r="L21" s="231"/>
      <c r="M21" s="231"/>
      <c r="N21" s="232"/>
    </row>
    <row r="22" spans="2:14" x14ac:dyDescent="0.15">
      <c r="B22" s="217" t="s">
        <v>144</v>
      </c>
      <c r="C22" s="357">
        <v>1.0966288815862348</v>
      </c>
      <c r="D22" s="218">
        <f>+Bioacem!F38/Presupuesto!D14</f>
        <v>1.0469427405465481</v>
      </c>
      <c r="E22" s="218"/>
      <c r="F22" s="218"/>
      <c r="G22" s="218"/>
      <c r="H22" s="218"/>
      <c r="I22" s="218"/>
      <c r="J22" s="218"/>
      <c r="K22" s="218"/>
      <c r="L22" s="218"/>
      <c r="M22" s="218"/>
      <c r="N22" s="264"/>
    </row>
    <row r="23" spans="2:14" ht="14" thickBot="1" x14ac:dyDescent="0.2">
      <c r="B23" s="226" t="s">
        <v>145</v>
      </c>
      <c r="C23" s="224">
        <v>1.4991852254209668</v>
      </c>
      <c r="D23" s="220">
        <f>+'G. Extra'!F38/Presupuesto!D15</f>
        <v>1.2715806885144216</v>
      </c>
      <c r="E23" s="220"/>
      <c r="F23" s="220"/>
      <c r="G23" s="220"/>
      <c r="H23" s="220"/>
      <c r="I23" s="220"/>
      <c r="J23" s="220"/>
      <c r="K23" s="220"/>
      <c r="L23" s="220"/>
      <c r="M23" s="220"/>
      <c r="N23" s="221"/>
    </row>
    <row r="24" spans="2:14" ht="14" thickBot="1" x14ac:dyDescent="0.2">
      <c r="B24" s="604" t="s">
        <v>153</v>
      </c>
      <c r="C24" s="605"/>
      <c r="D24" s="605"/>
      <c r="E24" s="605"/>
      <c r="F24" s="605"/>
      <c r="G24" s="605"/>
      <c r="H24" s="605"/>
      <c r="I24" s="605"/>
      <c r="J24" s="605"/>
      <c r="K24" s="605"/>
      <c r="L24" s="605"/>
      <c r="M24" s="605"/>
      <c r="N24" s="606"/>
    </row>
    <row r="25" spans="2:14" x14ac:dyDescent="0.15">
      <c r="B25" s="354" t="s">
        <v>146</v>
      </c>
      <c r="C25" s="230">
        <v>0.46086889044215879</v>
      </c>
      <c r="D25" s="231">
        <f>+'G. Corriente'!E38/Presupuesto!D7</f>
        <v>0.44118028395004166</v>
      </c>
      <c r="E25" s="231"/>
      <c r="F25" s="231"/>
      <c r="G25" s="231"/>
      <c r="H25" s="231"/>
      <c r="I25" s="231"/>
      <c r="J25" s="231"/>
      <c r="K25" s="231"/>
      <c r="L25" s="231"/>
      <c r="M25" s="231"/>
      <c r="N25" s="232"/>
    </row>
    <row r="26" spans="2:14" x14ac:dyDescent="0.15">
      <c r="B26" s="217" t="s">
        <v>147</v>
      </c>
      <c r="C26" s="357">
        <v>0.48613287440080921</v>
      </c>
      <c r="D26" s="218">
        <f>+Bioacem!E38/Presupuesto!D7</f>
        <v>0.50998893183748706</v>
      </c>
      <c r="E26" s="218"/>
      <c r="F26" s="218"/>
      <c r="G26" s="218"/>
      <c r="H26" s="218"/>
      <c r="I26" s="218"/>
      <c r="J26" s="218"/>
      <c r="K26" s="218"/>
      <c r="L26" s="218"/>
      <c r="M26" s="218"/>
      <c r="N26" s="264"/>
    </row>
    <row r="27" spans="2:14" ht="14" thickBot="1" x14ac:dyDescent="0.2">
      <c r="B27" s="226" t="s">
        <v>148</v>
      </c>
      <c r="C27" s="224">
        <v>5.2998235157031968E-2</v>
      </c>
      <c r="D27" s="220">
        <f>+'G. Extra'!E38/Presupuesto!D7</f>
        <v>4.8830784212471202E-2</v>
      </c>
      <c r="E27" s="220"/>
      <c r="F27" s="220"/>
      <c r="G27" s="220"/>
      <c r="H27" s="220"/>
      <c r="I27" s="220"/>
      <c r="J27" s="220"/>
      <c r="K27" s="220"/>
      <c r="L27" s="220"/>
      <c r="M27" s="220"/>
      <c r="N27" s="221"/>
    </row>
    <row r="29" spans="2:14" x14ac:dyDescent="0.15">
      <c r="F29" s="271"/>
    </row>
    <row r="30" spans="2:14" x14ac:dyDescent="0.15">
      <c r="C30" s="504"/>
      <c r="D30" s="504"/>
    </row>
    <row r="31" spans="2:14" x14ac:dyDescent="0.15">
      <c r="C31" s="269"/>
      <c r="D31" s="269"/>
    </row>
    <row r="33" spans="4:4" x14ac:dyDescent="0.15">
      <c r="D33" s="271"/>
    </row>
    <row r="36" spans="4:4" x14ac:dyDescent="0.15">
      <c r="D36" s="271"/>
    </row>
  </sheetData>
  <mergeCells count="3">
    <mergeCell ref="B5:N5"/>
    <mergeCell ref="B20:N20"/>
    <mergeCell ref="B24:N24"/>
  </mergeCells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M1000"/>
  <sheetViews>
    <sheetView zoomScale="120" zoomScaleNormal="120" workbookViewId="0">
      <selection activeCell="F10" sqref="F10"/>
    </sheetView>
  </sheetViews>
  <sheetFormatPr baseColWidth="10" defaultColWidth="12.5" defaultRowHeight="15" customHeight="1" x14ac:dyDescent="0.15"/>
  <cols>
    <col min="1" max="1" width="10.5" customWidth="1"/>
    <col min="2" max="2" width="11.83203125" bestFit="1" customWidth="1"/>
    <col min="3" max="3" width="12.5" customWidth="1"/>
    <col min="4" max="4" width="13" customWidth="1"/>
    <col min="5" max="5" width="13.6640625" customWidth="1"/>
    <col min="6" max="6" width="13" bestFit="1" customWidth="1"/>
    <col min="7" max="7" width="13.6640625" customWidth="1"/>
    <col min="8" max="8" width="13.1640625" customWidth="1"/>
    <col min="9" max="9" width="12.5" customWidth="1"/>
    <col min="10" max="12" width="10.5" customWidth="1"/>
    <col min="13" max="13" width="12" bestFit="1" customWidth="1"/>
    <col min="14" max="26" width="10.5" customWidth="1"/>
  </cols>
  <sheetData>
    <row r="1" spans="2:13" ht="12.75" customHeight="1" x14ac:dyDescent="0.15"/>
    <row r="2" spans="2:13" ht="12.75" customHeight="1" thickBot="1" x14ac:dyDescent="0.2"/>
    <row r="3" spans="2:13" ht="13" x14ac:dyDescent="0.15">
      <c r="B3" s="614" t="s">
        <v>22</v>
      </c>
      <c r="C3" s="615"/>
      <c r="D3" s="615"/>
      <c r="E3" s="615"/>
      <c r="F3" s="615"/>
      <c r="G3" s="615"/>
      <c r="H3" s="615"/>
      <c r="I3" s="616"/>
    </row>
    <row r="4" spans="2:13" ht="13" x14ac:dyDescent="0.15">
      <c r="B4" s="611" t="s">
        <v>15</v>
      </c>
      <c r="C4" s="612"/>
      <c r="D4" s="612"/>
      <c r="E4" s="612"/>
      <c r="F4" s="612"/>
      <c r="G4" s="612"/>
      <c r="H4" s="612"/>
      <c r="I4" s="613"/>
    </row>
    <row r="5" spans="2:13" ht="14" thickBot="1" x14ac:dyDescent="0.2">
      <c r="B5" s="608" t="s">
        <v>23</v>
      </c>
      <c r="C5" s="609"/>
      <c r="D5" s="609"/>
      <c r="E5" s="609"/>
      <c r="F5" s="609"/>
      <c r="G5" s="609"/>
      <c r="H5" s="609"/>
      <c r="I5" s="610"/>
    </row>
    <row r="6" spans="2:13" ht="12.75" customHeight="1" x14ac:dyDescent="0.15">
      <c r="B6" s="607"/>
      <c r="C6" s="560"/>
      <c r="D6" s="560"/>
      <c r="E6" s="560"/>
      <c r="F6" s="560"/>
      <c r="K6" s="408">
        <f>-0.4*D10/1000</f>
        <v>-41.84</v>
      </c>
    </row>
    <row r="7" spans="2:13" ht="12.75" customHeight="1" thickBot="1" x14ac:dyDescent="0.2">
      <c r="B7" s="1"/>
      <c r="C7" s="1"/>
      <c r="D7" s="1"/>
      <c r="E7" s="1"/>
    </row>
    <row r="8" spans="2:13" ht="29" thickBot="1" x14ac:dyDescent="0.2">
      <c r="C8" s="65" t="s">
        <v>24</v>
      </c>
      <c r="D8" s="66" t="s">
        <v>25</v>
      </c>
      <c r="E8" s="66" t="s">
        <v>26</v>
      </c>
      <c r="F8" s="66" t="s">
        <v>27</v>
      </c>
      <c r="G8" s="66" t="s">
        <v>225</v>
      </c>
      <c r="H8" s="65" t="s">
        <v>29</v>
      </c>
      <c r="I8" s="65" t="s">
        <v>29</v>
      </c>
    </row>
    <row r="9" spans="2:13" ht="14" thickBot="1" x14ac:dyDescent="0.2">
      <c r="B9" s="372" t="s">
        <v>16</v>
      </c>
      <c r="C9" s="68">
        <f>+Bioacem!D7</f>
        <v>12651.427</v>
      </c>
      <c r="D9" s="69">
        <f>+Bioacem!F38</f>
        <v>123400</v>
      </c>
      <c r="E9" s="69">
        <f>-Bioacem!E38</f>
        <v>-121740.32999999997</v>
      </c>
      <c r="F9" s="69">
        <f>IF((SUM(C9:E9)=I9),0,H9-I9)</f>
        <v>-480.9029999999766</v>
      </c>
      <c r="G9" s="69">
        <v>0</v>
      </c>
      <c r="H9" s="69">
        <f>+C9+D9+E9</f>
        <v>14311.097000000023</v>
      </c>
      <c r="I9" s="70">
        <f>+Bioacem!H34</f>
        <v>14792</v>
      </c>
      <c r="J9" s="11"/>
      <c r="K9" t="s">
        <v>164</v>
      </c>
      <c r="M9" s="408"/>
    </row>
    <row r="10" spans="2:13" ht="14" thickBot="1" x14ac:dyDescent="0.2">
      <c r="B10" s="372" t="s">
        <v>30</v>
      </c>
      <c r="C10" s="71">
        <f>+'G. Corriente'!D7</f>
        <v>7703.17</v>
      </c>
      <c r="D10" s="15">
        <f>+'G. Corriente'!F38</f>
        <v>104600</v>
      </c>
      <c r="E10" s="15">
        <f>-'G. Corriente'!E38</f>
        <v>-105314.9</v>
      </c>
      <c r="F10" s="15">
        <f>IF((SUM(C10:E10)=I10),0,H10-I10+G10)</f>
        <v>26.470000000004035</v>
      </c>
      <c r="G10" s="253">
        <f>-0.4*D10/1000</f>
        <v>-41.84</v>
      </c>
      <c r="H10" s="15">
        <f>+C10+D10+E10</f>
        <v>6988.2700000000041</v>
      </c>
      <c r="I10" s="72">
        <f>+'G. Corriente'!H34</f>
        <v>6919.96</v>
      </c>
      <c r="J10" s="11"/>
      <c r="K10" t="s">
        <v>165</v>
      </c>
      <c r="M10" s="408"/>
    </row>
    <row r="11" spans="2:13" ht="14" thickBot="1" x14ac:dyDescent="0.2">
      <c r="B11" s="372" t="s">
        <v>31</v>
      </c>
      <c r="C11" s="73">
        <f>+'G. Extra'!D7</f>
        <v>2194.9899999999998</v>
      </c>
      <c r="D11" s="74">
        <f>+'G. Extra'!F38</f>
        <v>12300</v>
      </c>
      <c r="E11" s="74">
        <f>-'G. Extra'!E38</f>
        <v>-11656.480000000003</v>
      </c>
      <c r="F11" s="74">
        <f>IF((SUM(C11:E11)=I11),0,H11-I11+G11)</f>
        <v>16.149999999996524</v>
      </c>
      <c r="G11" s="253">
        <f>-0.4*D11/1000</f>
        <v>-4.92</v>
      </c>
      <c r="H11" s="253">
        <f>+C11+D11+E11</f>
        <v>2838.5099999999966</v>
      </c>
      <c r="I11" s="254">
        <f>+'G. Extra'!H34</f>
        <v>2817.44</v>
      </c>
      <c r="J11" s="11"/>
      <c r="K11" s="12"/>
    </row>
    <row r="12" spans="2:13" ht="14" thickBot="1" x14ac:dyDescent="0.2">
      <c r="C12" s="67">
        <f t="shared" ref="C12:I12" si="0">SUM(C9:C11)</f>
        <v>22549.587</v>
      </c>
      <c r="D12" s="67">
        <f>SUM(D9:D11)</f>
        <v>240300</v>
      </c>
      <c r="E12" s="67">
        <f t="shared" si="0"/>
        <v>-238711.71</v>
      </c>
      <c r="F12" s="252">
        <f t="shared" si="0"/>
        <v>-438.28299999997608</v>
      </c>
      <c r="G12" s="255">
        <f t="shared" si="0"/>
        <v>-46.760000000000005</v>
      </c>
      <c r="H12" s="256">
        <f>SUM(H9:H11)</f>
        <v>24137.877000000022</v>
      </c>
      <c r="I12" s="257">
        <f t="shared" si="0"/>
        <v>24529.399999999998</v>
      </c>
    </row>
    <row r="13" spans="2:13" ht="12.75" customHeight="1" x14ac:dyDescent="0.15">
      <c r="H13" s="11"/>
      <c r="K13" s="408"/>
    </row>
    <row r="14" spans="2:13" ht="12.75" customHeight="1" x14ac:dyDescent="0.15">
      <c r="D14" s="243"/>
    </row>
    <row r="15" spans="2:13" ht="12.75" customHeight="1" x14ac:dyDescent="0.15">
      <c r="F15" s="11"/>
    </row>
    <row r="16" spans="2:13" ht="12.75" customHeight="1" x14ac:dyDescent="0.15">
      <c r="F16" s="11">
        <f>+F10-G10</f>
        <v>68.310000000004038</v>
      </c>
    </row>
    <row r="17" spans="4:4" ht="12.75" customHeight="1" x14ac:dyDescent="0.15">
      <c r="D17" s="243"/>
    </row>
    <row r="18" spans="4:4" ht="12.75" customHeight="1" x14ac:dyDescent="0.15"/>
    <row r="19" spans="4:4" ht="12.75" customHeight="1" x14ac:dyDescent="0.15"/>
    <row r="20" spans="4:4" ht="12.75" customHeight="1" x14ac:dyDescent="0.15"/>
    <row r="21" spans="4:4" ht="12.75" customHeight="1" x14ac:dyDescent="0.15"/>
    <row r="22" spans="4:4" ht="12.75" customHeight="1" x14ac:dyDescent="0.15"/>
    <row r="23" spans="4:4" ht="12.75" customHeight="1" x14ac:dyDescent="0.15"/>
    <row r="24" spans="4:4" ht="12.75" customHeight="1" x14ac:dyDescent="0.15"/>
    <row r="25" spans="4:4" ht="12.75" customHeight="1" x14ac:dyDescent="0.15"/>
    <row r="26" spans="4:4" ht="12.75" customHeight="1" x14ac:dyDescent="0.15"/>
    <row r="27" spans="4:4" ht="12.75" customHeight="1" x14ac:dyDescent="0.15"/>
    <row r="28" spans="4:4" ht="12.75" customHeight="1" x14ac:dyDescent="0.15"/>
    <row r="29" spans="4:4" ht="12.75" customHeight="1" x14ac:dyDescent="0.15"/>
    <row r="30" spans="4:4" ht="12.75" customHeight="1" x14ac:dyDescent="0.15"/>
    <row r="31" spans="4:4" ht="12.75" customHeight="1" x14ac:dyDescent="0.15"/>
    <row r="32" spans="4:4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4">
    <mergeCell ref="B6:F6"/>
    <mergeCell ref="B5:I5"/>
    <mergeCell ref="B4:I4"/>
    <mergeCell ref="B3:I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G. Corriente</vt:lpstr>
      <vt:lpstr>Bioacem</vt:lpstr>
      <vt:lpstr>G. Extra</vt:lpstr>
      <vt:lpstr>Cierre</vt:lpstr>
      <vt:lpstr>Vtas efectivo</vt:lpstr>
      <vt:lpstr>Urea</vt:lpstr>
      <vt:lpstr>Facturas</vt:lpstr>
      <vt:lpstr>Fluctuaciones</vt:lpstr>
      <vt:lpstr>Promotor</vt:lpstr>
      <vt:lpstr>Presupuesto</vt:lpstr>
      <vt:lpstr>Sicom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 Garrollantas</dc:creator>
  <cp:lastModifiedBy>Javier Camacho</cp:lastModifiedBy>
  <dcterms:created xsi:type="dcterms:W3CDTF">2013-12-13T17:58:46Z</dcterms:created>
  <dcterms:modified xsi:type="dcterms:W3CDTF">2026-08-28T17:09:50Z</dcterms:modified>
</cp:coreProperties>
</file>